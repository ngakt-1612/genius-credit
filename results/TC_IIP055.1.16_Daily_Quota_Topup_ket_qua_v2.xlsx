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TC_Quota_Topup" sheetId="1" state="visible" r:id="rId1"/>
    <sheet name="Setup ví (không seed)" sheetId="2" state="visible" r:id="rId2"/>
    <sheet name="Summary" sheetId="3" state="visible" r:id="rId3"/>
    <sheet name="Coverage" sheetId="4" state="visible" r:id="rId4"/>
    <sheet name="Spec Q&amp;A" sheetId="5" state="visible" r:id="rId5"/>
  </sheets>
  <definedNames/>
  <calcPr calcId="124519" fullCalcOnLoad="1" refMode="A1" iterate="0" iterateCount="100" iterateDelta="0.0001"/>
</workbook>
</file>

<file path=xl/styles.xml><?xml version="1.0" encoding="utf-8"?>
<styleSheet xmlns="http://schemas.openxmlformats.org/spreadsheetml/2006/main">
  <numFmts count="0"/>
  <fonts count="9">
    <font>
      <name val="Calibri"/>
      <charset val="1"/>
      <family val="2"/>
      <color theme="1"/>
      <sz val="11"/>
    </font>
    <font>
      <name val="Arial"/>
      <family val="0"/>
      <sz val="10"/>
    </font>
    <font>
      <name val="Arial"/>
      <family val="0"/>
      <sz val="10"/>
    </font>
    <font>
      <name val="Arial"/>
      <family val="0"/>
      <sz val="10"/>
    </font>
    <font>
      <name val="Arial"/>
      <charset val="1"/>
      <family val="0"/>
      <b val="1"/>
      <sz val="11"/>
    </font>
    <font>
      <name val="Arial"/>
      <charset val="1"/>
      <family val="0"/>
      <b val="1"/>
      <sz val="10"/>
    </font>
    <font>
      <name val="Arial"/>
      <charset val="1"/>
      <family val="0"/>
      <sz val="10"/>
    </font>
    <font>
      <b val="1"/>
    </font>
    <font>
      <color rgb="000563C1"/>
      <u val="single"/>
    </font>
  </fonts>
  <fills count="16">
    <fill>
      <patternFill/>
    </fill>
    <fill>
      <patternFill patternType="gray125"/>
    </fill>
    <fill>
      <patternFill patternType="solid">
        <fgColor rgb="FFCFE2F3"/>
        <bgColor rgb="FFE6E6E6"/>
      </patternFill>
    </fill>
    <fill>
      <patternFill patternType="solid">
        <fgColor rgb="FFB6D7A8"/>
        <bgColor rgb="FFCCCCCC"/>
      </patternFill>
    </fill>
    <fill>
      <patternFill patternType="solid">
        <fgColor rgb="FFF4CCCC"/>
        <bgColor rgb="FFFCE5CD"/>
      </patternFill>
    </fill>
    <fill>
      <patternFill patternType="solid">
        <fgColor rgb="FFFFFF00"/>
        <bgColor rgb="FFFFFF00"/>
      </patternFill>
    </fill>
    <fill>
      <patternFill patternType="solid">
        <fgColor rgb="FFFFFFFF"/>
        <bgColor rgb="FFFFF2CC"/>
      </patternFill>
    </fill>
    <fill>
      <patternFill patternType="solid">
        <fgColor rgb="FFFCE5CD"/>
        <bgColor rgb="FFFFF2CC"/>
      </patternFill>
    </fill>
    <fill>
      <patternFill patternType="solid">
        <fgColor rgb="FFFFF2CC"/>
        <bgColor rgb="FFFCE5CD"/>
      </patternFill>
    </fill>
    <fill>
      <patternFill patternType="solid">
        <fgColor rgb="FFE6E6E6"/>
        <bgColor rgb="FFCFE2F3"/>
      </patternFill>
    </fill>
    <fill>
      <patternFill patternType="solid">
        <fgColor rgb="00C6EFCE"/>
      </patternFill>
    </fill>
    <fill>
      <patternFill patternType="solid">
        <fgColor rgb="00FFC7CE"/>
      </patternFill>
    </fill>
    <fill>
      <patternFill patternType="solid">
        <fgColor rgb="00FCE4D6"/>
      </patternFill>
    </fill>
    <fill>
      <patternFill patternType="solid">
        <fgColor rgb="00EDEDED"/>
      </patternFill>
    </fill>
    <fill>
      <patternFill patternType="solid">
        <fgColor rgb="00FFEB9C"/>
      </patternFill>
    </fill>
    <fill>
      <patternFill patternType="solid">
        <fgColor rgb="00DDEBF7"/>
      </patternFill>
    </fill>
  </fills>
  <borders count="5">
    <border>
      <left/>
      <right/>
      <top/>
      <bottom/>
      <diagonal/>
    </border>
    <border>
      <left style="thin">
        <color rgb="FFCCCCCC"/>
      </left>
      <right style="thin">
        <color rgb="FFCCCCCC"/>
      </right>
      <top style="thin">
        <color rgb="FFCCCCCC"/>
      </top>
      <bottom style="thin">
        <color rgb="FFCCCCCC"/>
      </bottom>
      <diagonal/>
    </border>
    <border>
      <left style="thin">
        <color rgb="FFCCCCCC"/>
      </left>
      <right/>
      <top/>
      <bottom/>
      <diagonal/>
    </border>
    <border>
      <left style="thin">
        <color rgb="FFCCCCCC"/>
      </left>
      <right style="thin">
        <color rgb="FFCCCCCC"/>
      </right>
      <top/>
      <bottom/>
      <diagonal/>
    </border>
    <border>
      <left style="thin">
        <color rgb="FFCCCCCC"/>
      </left>
      <right style="thin">
        <color rgb="FFCCCCCC"/>
      </right>
      <top/>
      <bottom style="thin">
        <color rgb="FFCCCCCC"/>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0">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center" vertical="center" wrapText="1"/>
    </xf>
    <xf numFmtId="0" fontId="5" fillId="3" borderId="1" applyAlignment="1" pivotButton="0" quotePrefix="0" xfId="0">
      <alignment horizontal="center" vertical="center" wrapText="1"/>
    </xf>
    <xf numFmtId="0" fontId="5" fillId="4" borderId="0" applyAlignment="1" pivotButton="0" quotePrefix="0" xfId="0">
      <alignment horizontal="left" vertical="center" indent="1"/>
    </xf>
    <xf numFmtId="0" fontId="6" fillId="0" borderId="1" applyAlignment="1" pivotButton="0" quotePrefix="0" xfId="0">
      <alignment horizontal="center" vertical="center" wrapText="1"/>
    </xf>
    <xf numFmtId="0" fontId="6" fillId="0" borderId="1" applyAlignment="1" pivotButton="0" quotePrefix="0" xfId="0">
      <alignment horizontal="general" vertical="bottom"/>
    </xf>
    <xf numFmtId="0" fontId="6" fillId="0" borderId="1" applyAlignment="1" pivotButton="0" quotePrefix="0" xfId="0">
      <alignment horizontal="left" vertical="top" wrapText="1"/>
    </xf>
    <xf numFmtId="0" fontId="6" fillId="5" borderId="1" applyAlignment="1" pivotButton="0" quotePrefix="0" xfId="0">
      <alignment horizontal="center" vertical="center" wrapText="1"/>
    </xf>
    <xf numFmtId="0" fontId="6" fillId="5" borderId="1" applyAlignment="1" pivotButton="0" quotePrefix="0" xfId="0">
      <alignment horizontal="general" vertical="bottom"/>
    </xf>
    <xf numFmtId="0" fontId="6" fillId="5" borderId="1" applyAlignment="1" pivotButton="0" quotePrefix="0" xfId="0">
      <alignment horizontal="left" vertical="top" wrapText="1"/>
    </xf>
    <xf numFmtId="0" fontId="0" fillId="5" borderId="0" applyAlignment="1" pivotButton="0" quotePrefix="0" xfId="0">
      <alignment horizontal="general" vertical="bottom"/>
    </xf>
    <xf numFmtId="0" fontId="5" fillId="6" borderId="0" applyAlignment="1" pivotButton="0" quotePrefix="0" xfId="0">
      <alignment horizontal="left" vertical="center" indent="1"/>
    </xf>
    <xf numFmtId="0" fontId="5" fillId="3" borderId="0" applyAlignment="1" pivotButton="0" quotePrefix="0" xfId="0">
      <alignment horizontal="general" vertical="bottom"/>
    </xf>
    <xf numFmtId="0" fontId="0" fillId="0" borderId="1" applyAlignment="1" pivotButton="0" quotePrefix="0" xfId="0">
      <alignment horizontal="general" vertical="bottom"/>
    </xf>
    <xf numFmtId="0" fontId="0" fillId="0" borderId="1" applyAlignment="1" pivotButton="0" quotePrefix="0" xfId="0">
      <alignment horizontal="center" vertical="center" wrapText="1"/>
    </xf>
    <xf numFmtId="0" fontId="5" fillId="0" borderId="0" applyAlignment="1" pivotButton="0" quotePrefix="0" xfId="0">
      <alignment horizontal="general" vertical="bottom"/>
    </xf>
    <xf numFmtId="0" fontId="5" fillId="0" borderId="0" applyAlignment="1" pivotButton="0" quotePrefix="0" xfId="0">
      <alignment horizontal="center" vertical="center" wrapText="1"/>
    </xf>
    <xf numFmtId="9" fontId="0" fillId="0" borderId="1" applyAlignment="1" pivotButton="0" quotePrefix="0" xfId="0">
      <alignment horizontal="general" vertical="bottom"/>
    </xf>
    <xf numFmtId="9" fontId="0" fillId="0" borderId="0" applyAlignment="1" pivotButton="0" quotePrefix="0" xfId="0">
      <alignment horizontal="general" vertical="bottom"/>
    </xf>
    <xf numFmtId="0" fontId="6" fillId="4" borderId="1" applyAlignment="1" pivotButton="0" quotePrefix="0" xfId="0">
      <alignment horizontal="left" vertical="top" wrapText="1"/>
    </xf>
    <xf numFmtId="0" fontId="6" fillId="7" borderId="1" applyAlignment="1" pivotButton="0" quotePrefix="0" xfId="0">
      <alignment horizontal="left" vertical="top" wrapText="1"/>
    </xf>
    <xf numFmtId="0" fontId="6" fillId="8" borderId="1" applyAlignment="1" pivotButton="0" quotePrefix="0" xfId="0">
      <alignment horizontal="left" vertical="top" wrapText="1"/>
    </xf>
    <xf numFmtId="0" fontId="6" fillId="9" borderId="1" applyAlignment="1" pivotButton="0" quotePrefix="0" xfId="0">
      <alignment horizontal="left"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wrapText="1"/>
    </xf>
    <xf numFmtId="0" fontId="5" fillId="3" borderId="1" applyAlignment="1" pivotButton="0" quotePrefix="0" xfId="0">
      <alignment horizontal="center" vertical="center" wrapText="1"/>
    </xf>
    <xf numFmtId="0" fontId="7" fillId="3" borderId="1" applyAlignment="1" pivotButton="0" quotePrefix="0" xfId="0">
      <alignment horizontal="center" vertical="center" wrapText="1"/>
    </xf>
    <xf numFmtId="0" fontId="7" fillId="0" borderId="0" pivotButton="0" quotePrefix="0" xfId="0"/>
    <xf numFmtId="0" fontId="5" fillId="4" borderId="0" applyAlignment="1" pivotButton="0" quotePrefix="0" xfId="0">
      <alignment horizontal="left" vertical="center" indent="1"/>
    </xf>
    <xf numFmtId="0" fontId="6" fillId="0" borderId="1" applyAlignment="1" pivotButton="0" quotePrefix="0" xfId="0">
      <alignment horizontal="center" vertical="center" wrapText="1"/>
    </xf>
    <xf numFmtId="0" fontId="6" fillId="0" borderId="1" applyAlignment="1" pivotButton="0" quotePrefix="0" xfId="0">
      <alignment horizontal="general" vertical="bottom"/>
    </xf>
    <xf numFmtId="0" fontId="6" fillId="0" borderId="1" applyAlignment="1" pivotButton="0" quotePrefix="0" xfId="0">
      <alignment horizontal="left" vertical="top" wrapText="1"/>
    </xf>
    <xf numFmtId="0" fontId="6" fillId="10" borderId="1" applyAlignment="1" pivotButton="0" quotePrefix="0" xfId="0">
      <alignment horizontal="general" vertical="bottom"/>
    </xf>
    <xf numFmtId="0" fontId="0" fillId="0" borderId="0" applyAlignment="1" pivotButton="0" quotePrefix="0" xfId="0">
      <alignment vertical="top" wrapText="1"/>
    </xf>
    <xf numFmtId="0" fontId="8" fillId="0" borderId="0" pivotButton="0" quotePrefix="0" xfId="0"/>
    <xf numFmtId="0" fontId="0" fillId="0" borderId="3" pivotButton="0" quotePrefix="0" xfId="0"/>
    <xf numFmtId="0" fontId="6" fillId="11" borderId="1" applyAlignment="1" pivotButton="0" quotePrefix="0" xfId="0">
      <alignment horizontal="general" vertical="bottom"/>
    </xf>
    <xf numFmtId="0" fontId="0" fillId="0" borderId="4" pivotButton="0" quotePrefix="0" xfId="0"/>
    <xf numFmtId="0" fontId="6" fillId="12" borderId="1" applyAlignment="1" pivotButton="0" quotePrefix="0" xfId="0">
      <alignment horizontal="general" vertical="bottom"/>
    </xf>
    <xf numFmtId="0" fontId="6" fillId="13" borderId="1" applyAlignment="1" pivotButton="0" quotePrefix="0" xfId="0">
      <alignment horizontal="general" vertical="bottom"/>
    </xf>
    <xf numFmtId="0" fontId="6" fillId="14" borderId="1" applyAlignment="1" pivotButton="0" quotePrefix="0" xfId="0">
      <alignment horizontal="general" vertical="bottom"/>
    </xf>
    <xf numFmtId="0" fontId="6" fillId="15" borderId="1" applyAlignment="1" pivotButton="0" quotePrefix="0" xfId="0">
      <alignment horizontal="general" vertical="bottom"/>
    </xf>
    <xf numFmtId="0" fontId="0" fillId="5" borderId="0" applyAlignment="1" pivotButton="0" quotePrefix="0" xfId="0">
      <alignment horizontal="general" vertical="bottom"/>
    </xf>
    <xf numFmtId="0" fontId="6" fillId="5" borderId="1" applyAlignment="1" pivotButton="0" quotePrefix="0" xfId="0">
      <alignment horizontal="center" vertical="center" wrapText="1"/>
    </xf>
    <xf numFmtId="0" fontId="6" fillId="5" borderId="1" applyAlignment="1" pivotButton="0" quotePrefix="0" xfId="0">
      <alignment horizontal="general" vertical="bottom"/>
    </xf>
    <xf numFmtId="0" fontId="6" fillId="5" borderId="1" applyAlignment="1" pivotButton="0" quotePrefix="0" xfId="0">
      <alignment horizontal="left" vertical="top" wrapText="1"/>
    </xf>
    <xf numFmtId="0" fontId="5" fillId="6" borderId="0" applyAlignment="1" pivotButton="0" quotePrefix="0" xfId="0">
      <alignment horizontal="left" vertical="center" indent="1"/>
    </xf>
    <xf numFmtId="0" fontId="5" fillId="3" borderId="0" applyAlignment="1" pivotButton="0" quotePrefix="0" xfId="0">
      <alignment horizontal="general" vertical="bottom"/>
    </xf>
    <xf numFmtId="0" fontId="0" fillId="0" borderId="1" applyAlignment="1" pivotButton="0" quotePrefix="0" xfId="0">
      <alignment horizontal="general" vertical="bottom"/>
    </xf>
    <xf numFmtId="0" fontId="0" fillId="0" borderId="1" applyAlignment="1" pivotButton="0" quotePrefix="0" xfId="0">
      <alignment horizontal="center" vertical="center" wrapText="1"/>
    </xf>
    <xf numFmtId="0" fontId="5" fillId="0" borderId="0" applyAlignment="1" pivotButton="0" quotePrefix="0" xfId="0">
      <alignment horizontal="general" vertical="bottom"/>
    </xf>
    <xf numFmtId="0" fontId="5" fillId="0" borderId="0" applyAlignment="1" pivotButton="0" quotePrefix="0" xfId="0">
      <alignment horizontal="center" vertical="center" wrapText="1"/>
    </xf>
    <xf numFmtId="9" fontId="0" fillId="0" borderId="1" applyAlignment="1" pivotButton="0" quotePrefix="0" xfId="0">
      <alignment horizontal="general" vertical="bottom"/>
    </xf>
    <xf numFmtId="9" fontId="0" fillId="0" borderId="0" applyAlignment="1" pivotButton="0" quotePrefix="0" xfId="0">
      <alignment horizontal="general" vertical="bottom"/>
    </xf>
    <xf numFmtId="0" fontId="6" fillId="4" borderId="1" applyAlignment="1" pivotButton="0" quotePrefix="0" xfId="0">
      <alignment horizontal="left" vertical="top" wrapText="1"/>
    </xf>
    <xf numFmtId="0" fontId="6" fillId="7" borderId="1" applyAlignment="1" pivotButton="0" quotePrefix="0" xfId="0">
      <alignment horizontal="left" vertical="top" wrapText="1"/>
    </xf>
    <xf numFmtId="0" fontId="6" fillId="8" borderId="1" applyAlignment="1" pivotButton="0" quotePrefix="0" xfId="0">
      <alignment horizontal="left" vertical="top" wrapText="1"/>
    </xf>
    <xf numFmtId="0" fontId="6" fillId="9" borderId="1" applyAlignment="1" pivotButton="0" quotePrefix="0" xfId="0">
      <alignment horizontal="lef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2CC"/>
      <rgbColor rgb="FFE6E6E6"/>
      <rgbColor rgb="FF660066"/>
      <rgbColor rgb="FFFF8080"/>
      <rgbColor rgb="FF0066CC"/>
      <rgbColor rgb="FFCFE2F3"/>
      <rgbColor rgb="FF000080"/>
      <rgbColor rgb="FFFF00FF"/>
      <rgbColor rgb="FFFFFF00"/>
      <rgbColor rgb="FF00FFFF"/>
      <rgbColor rgb="FF800080"/>
      <rgbColor rgb="FF800000"/>
      <rgbColor rgb="FF008080"/>
      <rgbColor rgb="FF0000FF"/>
      <rgbColor rgb="FF00CCFF"/>
      <rgbColor rgb="FFCCFFFF"/>
      <rgbColor rgb="FFCCFFCC"/>
      <rgbColor rgb="FFFCE5CD"/>
      <rgbColor rgb="FFB6D7A8"/>
      <rgbColor rgb="FFFF99CC"/>
      <rgbColor rgb="FFCC99FF"/>
      <rgbColor rgb="FFF4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hyperlink" Target="file:///Users/kieunga/Downloads/Genius-2.9.0-Daily-Quota-round2-bang-chung/N001" TargetMode="External" Id="rId1" /><Relationship Type="http://schemas.openxmlformats.org/officeDocument/2006/relationships/hyperlink" Target="file:///Users/kieunga/Downloads/Genius-2.9.0-Daily-Quota-round2-bang-chung/N002" TargetMode="External" Id="rId2" /><Relationship Type="http://schemas.openxmlformats.org/officeDocument/2006/relationships/hyperlink" Target="file:///Users/kieunga/Downloads/Genius-2.9.0-Daily-Quota-round2-bang-chung/N003" TargetMode="External" Id="rId3" /><Relationship Type="http://schemas.openxmlformats.org/officeDocument/2006/relationships/hyperlink" Target="file:///Users/kieunga/Downloads/Genius-2.9.0-Daily-Quota-round2-bang-chung/N004" TargetMode="External" Id="rId4" /><Relationship Type="http://schemas.openxmlformats.org/officeDocument/2006/relationships/hyperlink" Target="file:///Users/kieunga/Downloads/Genius-2.9.0-Daily-Quota-round2-bang-chung/N005" TargetMode="External" Id="rId5" /><Relationship Type="http://schemas.openxmlformats.org/officeDocument/2006/relationships/hyperlink" Target="file:///Users/kieunga/Downloads/Genius-2.9.0-Daily-Quota-round2-bang-chung/N006" TargetMode="External" Id="rId6" /><Relationship Type="http://schemas.openxmlformats.org/officeDocument/2006/relationships/hyperlink" Target="file:///Users/kieunga/Downloads/Genius-2.9.0-Daily-Quota-round2-bang-chung/N007" TargetMode="External" Id="rId7" /><Relationship Type="http://schemas.openxmlformats.org/officeDocument/2006/relationships/hyperlink" Target="file:///Users/kieunga/Downloads/Genius-2.9.0-Daily-Quota-round2-bang-chung/N008" TargetMode="External" Id="rId8" /><Relationship Type="http://schemas.openxmlformats.org/officeDocument/2006/relationships/hyperlink" Target="file:///Users/kieunga/Downloads/Genius-2.9.0-Daily-Quota-round2-bang-chung/N009" TargetMode="External" Id="rId9" /><Relationship Type="http://schemas.openxmlformats.org/officeDocument/2006/relationships/hyperlink" Target="file:///Users/kieunga/Downloads/Genius-2.9.0-Daily-Quota-round2-bang-chung/N010" TargetMode="External" Id="rId10" /><Relationship Type="http://schemas.openxmlformats.org/officeDocument/2006/relationships/hyperlink" Target="file:///Users/kieunga/Downloads/Genius-2.9.0-Daily-Quota-round2-bang-chung/N012" TargetMode="External" Id="rId11" /><Relationship Type="http://schemas.openxmlformats.org/officeDocument/2006/relationships/hyperlink" Target="file:///Users/kieunga/Downloads/Genius-2.9.0-Daily-Quota-round2-bang-chung/N013" TargetMode="External" Id="rId12" /><Relationship Type="http://schemas.openxmlformats.org/officeDocument/2006/relationships/hyperlink" Target="file:///Users/kieunga/Downloads/Genius-2.9.0-Daily-Quota-round2-bang-chung/N014" TargetMode="External" Id="rId13" /><Relationship Type="http://schemas.openxmlformats.org/officeDocument/2006/relationships/hyperlink" Target="file:///Users/kieunga/Downloads/Genius-2.9.0-Daily-Quota-round2-bang-chung/N015" TargetMode="External" Id="rId14" /><Relationship Type="http://schemas.openxmlformats.org/officeDocument/2006/relationships/hyperlink" Target="file:///Users/kieunga/Downloads/Genius-2.9.0-Daily-Quota-round2-bang-chung/N016" TargetMode="External" Id="rId15" /><Relationship Type="http://schemas.openxmlformats.org/officeDocument/2006/relationships/hyperlink" Target="file:///Users/kieunga/Downloads/Genius-2.9.0-Daily-Quota-round2-bang-chung/N017" TargetMode="External" Id="rId16" /><Relationship Type="http://schemas.openxmlformats.org/officeDocument/2006/relationships/hyperlink" Target="file:///Users/kieunga/Downloads/Genius-2.9.0-Daily-Quota-round2-bang-chung/N018" TargetMode="External" Id="rId17" /><Relationship Type="http://schemas.openxmlformats.org/officeDocument/2006/relationships/hyperlink" Target="file:///Users/kieunga/Downloads/Genius-2.9.0-Daily-Quota-round2-bang-chung/N019" TargetMode="External" Id="rId18" /><Relationship Type="http://schemas.openxmlformats.org/officeDocument/2006/relationships/hyperlink" Target="file:///Users/kieunga/Downloads/Genius-2.9.0-Daily-Quota-round2-bang-chung/N020" TargetMode="External" Id="rId19" /><Relationship Type="http://schemas.openxmlformats.org/officeDocument/2006/relationships/hyperlink" Target="file:///Users/kieunga/Downloads/Genius-2.9.0-Daily-Quota-round2-bang-chung/N021" TargetMode="External" Id="rId20" /><Relationship Type="http://schemas.openxmlformats.org/officeDocument/2006/relationships/hyperlink" Target="file:///Users/kieunga/Downloads/Genius-2.9.0-Daily-Quota-round2-bang-chung/N022" TargetMode="External" Id="rId21" /><Relationship Type="http://schemas.openxmlformats.org/officeDocument/2006/relationships/hyperlink" Target="file:///Users/kieunga/Downloads/Genius-2.9.0-Daily-Quota-round2-bang-chung/N023" TargetMode="External" Id="rId22" /><Relationship Type="http://schemas.openxmlformats.org/officeDocument/2006/relationships/hyperlink" Target="file:///Users/kieunga/Downloads/Genius-2.9.0-Daily-Quota-round2-bang-chung/N024" TargetMode="External" Id="rId23" /><Relationship Type="http://schemas.openxmlformats.org/officeDocument/2006/relationships/hyperlink" Target="file:///Users/kieunga/Downloads/Genius-2.9.0-Daily-Quota-round2-bang-chung/N026" TargetMode="External" Id="rId24" /><Relationship Type="http://schemas.openxmlformats.org/officeDocument/2006/relationships/hyperlink" Target="file:///Users/kieunga/Downloads/Genius-2.9.0-Daily-Quota-round2-bang-chung/N027" TargetMode="External" Id="rId25" /><Relationship Type="http://schemas.openxmlformats.org/officeDocument/2006/relationships/hyperlink" Target="file:///Users/kieunga/Downloads/Genius-2.9.0-Daily-Quota-round2-bang-chung/N029" TargetMode="External" Id="rId26" /><Relationship Type="http://schemas.openxmlformats.org/officeDocument/2006/relationships/hyperlink" Target="file:///Users/kieunga/Downloads/Genius-2.9.0-Daily-Quota-round2-bang-chung/N031" TargetMode="External" Id="rId27" /><Relationship Type="http://schemas.openxmlformats.org/officeDocument/2006/relationships/hyperlink" Target="file:///Users/kieunga/Downloads/Genius-2.9.0-Daily-Quota-round2-bang-chung/N034" TargetMode="External" Id="rId28" /><Relationship Type="http://schemas.openxmlformats.org/officeDocument/2006/relationships/hyperlink" Target="file:///Users/kieunga/Downloads/Genius-2.9.0-Daily-Quota-round2-bang-chung/N038" TargetMode="External" Id="rId29" /><Relationship Type="http://schemas.openxmlformats.org/officeDocument/2006/relationships/hyperlink" Target="file:///Users/kieunga/Downloads/Genius-2.9.0-Daily-Quota-round2-bang-chung/N039" TargetMode="External" Id="rId30" /><Relationship Type="http://schemas.openxmlformats.org/officeDocument/2006/relationships/hyperlink" Target="file:///Users/kieunga/Downloads/Genius-2.9.0-Daily-Quota-round2-bang-chung/N040" TargetMode="External" Id="rId31" /><Relationship Type="http://schemas.openxmlformats.org/officeDocument/2006/relationships/hyperlink" Target="file:///Users/kieunga/Downloads/Genius-2.9.0-Daily-Quota-round2-bang-chung/N041" TargetMode="External" Id="rId32" /><Relationship Type="http://schemas.openxmlformats.org/officeDocument/2006/relationships/hyperlink" Target="file:///Users/kieunga/Downloads/Genius-2.9.0-Daily-Quota-round2-bang-chung/N047" TargetMode="External" Id="rId33" /><Relationship Type="http://schemas.openxmlformats.org/officeDocument/2006/relationships/hyperlink" Target="file:///Users/kieunga/Downloads/Genius-2.9.0-Daily-Quota-round2-bang-chung/N051" TargetMode="External" Id="rId34" /><Relationship Type="http://schemas.openxmlformats.org/officeDocument/2006/relationships/hyperlink" Target="file:///Users/kieunga/Downloads/Genius-2.9.0-Daily-Quota-round2-bang-chung/N055" TargetMode="External" Id="rId35" /><Relationship Type="http://schemas.openxmlformats.org/officeDocument/2006/relationships/hyperlink" Target="file:///Users/kieunga/Downloads/Genius-2.9.0-Daily-Quota-round2-bang-chung/N056" TargetMode="External" Id="rId36" /><Relationship Type="http://schemas.openxmlformats.org/officeDocument/2006/relationships/hyperlink" Target="file:///Users/kieunga/Downloads/Genius-2.9.0-Daily-Quota-round2-bang-chung/N058" TargetMode="External" Id="rId37" /><Relationship Type="http://schemas.openxmlformats.org/officeDocument/2006/relationships/hyperlink" Target="file:///Users/kieunga/Downloads/Genius-2.9.0-Daily-Quota-round2-bang-chung/N059" TargetMode="External" Id="rId38" /><Relationship Type="http://schemas.openxmlformats.org/officeDocument/2006/relationships/hyperlink" Target="file:///Users/kieunga/Downloads/Genius-2.9.0-Daily-Quota-round2-bang-chung/N060" TargetMode="External" Id="rId39" /><Relationship Type="http://schemas.openxmlformats.org/officeDocument/2006/relationships/hyperlink" Target="file:///Users/kieunga/Downloads/Genius-2.9.0-Daily-Quota-round2-bang-chung/N061" TargetMode="External" Id="rId40" /><Relationship Type="http://schemas.openxmlformats.org/officeDocument/2006/relationships/hyperlink" Target="file:///Users/kieunga/Downloads/Genius-2.9.0-Daily-Quota-round2-bang-chung/N062" TargetMode="External" Id="rId41" /><Relationship Type="http://schemas.openxmlformats.org/officeDocument/2006/relationships/hyperlink" Target="file:///Users/kieunga/Downloads/Genius-2.9.0-Daily-Quota-round2-bang-chung/N064" TargetMode="External" Id="rId42" /><Relationship Type="http://schemas.openxmlformats.org/officeDocument/2006/relationships/hyperlink" Target="file:///Users/kieunga/Downloads/Genius-2.9.0-Daily-Quota-round2-bang-chung/N065" TargetMode="External" Id="rId43" /><Relationship Type="http://schemas.openxmlformats.org/officeDocument/2006/relationships/hyperlink" Target="file:///Users/kieunga/Downloads/Genius-2.9.0-Daily-Quota-round2-bang-chung/N066" TargetMode="External" Id="rId44" /><Relationship Type="http://schemas.openxmlformats.org/officeDocument/2006/relationships/hyperlink" Target="file:///Users/kieunga/Downloads/Genius-2.9.0-Daily-Quota-round2-bang-chung/N067" TargetMode="External" Id="rId45" /><Relationship Type="http://schemas.openxmlformats.org/officeDocument/2006/relationships/hyperlink" Target="file:///Users/kieunga/Downloads/Genius-2.9.0-Daily-Quota-round2-bang-chung/N068" TargetMode="External" Id="rId46" /><Relationship Type="http://schemas.openxmlformats.org/officeDocument/2006/relationships/hyperlink" Target="file:///Users/kieunga/Downloads/Genius-2.9.0-Daily-Quota-round2-bang-chung/N070" TargetMode="External" Id="rId47" /><Relationship Type="http://schemas.openxmlformats.org/officeDocument/2006/relationships/hyperlink" Target="file:///Users/kieunga/Downloads/Genius-2.9.0-Daily-Quota-round2-bang-chung/N071" TargetMode="External" Id="rId48" /><Relationship Type="http://schemas.openxmlformats.org/officeDocument/2006/relationships/hyperlink" Target="file:///Users/kieunga/Downloads/Genius-2.9.0-Daily-Quota-round2-bang-chung/N073" TargetMode="External" Id="rId49" /><Relationship Type="http://schemas.openxmlformats.org/officeDocument/2006/relationships/hyperlink" Target="file:///Users/kieunga/Downloads/Genius-2.9.0-Daily-Quota-round2-bang-chung/N078" TargetMode="External" Id="rId50" /><Relationship Type="http://schemas.openxmlformats.org/officeDocument/2006/relationships/hyperlink" Target="file:///Users/kieunga/Downloads/Genius-2.9.0-Daily-Quota-round2-bang-chung/N081" TargetMode="External" Id="rId51" /><Relationship Type="http://schemas.openxmlformats.org/officeDocument/2006/relationships/hyperlink" Target="file:///Users/kieunga/Downloads/Genius-2.9.0-Daily-Quota-round2-bang-chung/N082" TargetMode="External" Id="rId52" /><Relationship Type="http://schemas.openxmlformats.org/officeDocument/2006/relationships/hyperlink" Target="file:///Users/kieunga/Downloads/Genius-2.9.0-Daily-Quota-round2-bang-chung/N084" TargetMode="External" Id="rId53" /><Relationship Type="http://schemas.openxmlformats.org/officeDocument/2006/relationships/hyperlink" Target="file:///Users/kieunga/Downloads/Genius-2.9.0-Daily-Quota-round2-bang-chung/N085" TargetMode="External" Id="rId54" /><Relationship Type="http://schemas.openxmlformats.org/officeDocument/2006/relationships/hyperlink" Target="file:///Users/kieunga/Downloads/Genius-2.9.0-Daily-Quota-round2-bang-chung/N086" TargetMode="External" Id="rId55" /><Relationship Type="http://schemas.openxmlformats.org/officeDocument/2006/relationships/hyperlink" Target="file:///Users/kieunga/Downloads/Genius-2.9.0-Daily-Quota-round2-bang-chung/N087" TargetMode="External" Id="rId56" /><Relationship Type="http://schemas.openxmlformats.org/officeDocument/2006/relationships/hyperlink" Target="file:///Users/kieunga/Downloads/Genius-2.9.0-Daily-Quota-round2-bang-chung/N088" TargetMode="External" Id="rId57" /><Relationship Type="http://schemas.openxmlformats.org/officeDocument/2006/relationships/hyperlink" Target="file:///Users/kieunga/Downloads/Genius-2.9.0-Daily-Quota-round2-bang-chung/N089" TargetMode="External" Id="rId58" /><Relationship Type="http://schemas.openxmlformats.org/officeDocument/2006/relationships/hyperlink" Target="file:///Users/kieunga/Downloads/Genius-2.9.0-Daily-Quota-round2-bang-chung/N090" TargetMode="External" Id="rId59" /><Relationship Type="http://schemas.openxmlformats.org/officeDocument/2006/relationships/hyperlink" Target="file:///Users/kieunga/Downloads/Genius-2.9.0-Daily-Quota-round2-bang-chung/N091" TargetMode="External" Id="rId60" /><Relationship Type="http://schemas.openxmlformats.org/officeDocument/2006/relationships/hyperlink" Target="file:///Users/kieunga/Downloads/Genius-2.9.0-Daily-Quota-round2-bang-chung/N092" TargetMode="External" Id="rId61" /><Relationship Type="http://schemas.openxmlformats.org/officeDocument/2006/relationships/hyperlink" Target="file:///Users/kieunga/Downloads/Genius-2.9.0-Daily-Quota-round2-bang-chung/N093" TargetMode="External" Id="rId62" /><Relationship Type="http://schemas.openxmlformats.org/officeDocument/2006/relationships/hyperlink" Target="file:///Users/kieunga/Downloads/Genius-2.9.0-Daily-Quota-round2-bang-chung/N095" TargetMode="External" Id="rId63" /><Relationship Type="http://schemas.openxmlformats.org/officeDocument/2006/relationships/hyperlink" Target="file:///Users/kieunga/Downloads/Genius-2.9.0-Daily-Quota-round2-bang-chung/N096" TargetMode="External" Id="rId64" /><Relationship Type="http://schemas.openxmlformats.org/officeDocument/2006/relationships/hyperlink" Target="file:///Users/kieunga/Downloads/Genius-2.9.0-Daily-Quota-round2-bang-chung/N097" TargetMode="External" Id="rId65" /><Relationship Type="http://schemas.openxmlformats.org/officeDocument/2006/relationships/hyperlink" Target="file:///Users/kieunga/Downloads/Genius-2.9.0-Daily-Quota-round2-bang-chung/N098" TargetMode="External" Id="rId66" /><Relationship Type="http://schemas.openxmlformats.org/officeDocument/2006/relationships/hyperlink" Target="file:///Users/kieunga/Downloads/Genius-2.9.0-Daily-Quota-round2-bang-chung/N099" TargetMode="External" Id="rId67" /><Relationship Type="http://schemas.openxmlformats.org/officeDocument/2006/relationships/hyperlink" Target="file:///Users/kieunga/Downloads/Genius-2.9.0-Daily-Quota-round2-bang-chung/N101" TargetMode="External" Id="rId68" /><Relationship Type="http://schemas.openxmlformats.org/officeDocument/2006/relationships/hyperlink" Target="file:///Users/kieunga/Downloads/Genius-2.9.0-Daily-Quota-round2-bang-chung/N102" TargetMode="External" Id="rId69" /><Relationship Type="http://schemas.openxmlformats.org/officeDocument/2006/relationships/hyperlink" Target="file:///Users/kieunga/Downloads/Genius-2.9.0-Daily-Quota-round2-bang-chung/N103" TargetMode="External" Id="rId70" /><Relationship Type="http://schemas.openxmlformats.org/officeDocument/2006/relationships/hyperlink" Target="file:///Users/kieunga/Downloads/Genius-2.9.0-Daily-Quota-round2-bang-chung/N104" TargetMode="External" Id="rId71" /><Relationship Type="http://schemas.openxmlformats.org/officeDocument/2006/relationships/hyperlink" Target="file:///Users/kieunga/Downloads/Genius-2.9.0-Daily-Quota-round2-bang-chung/N105" TargetMode="External" Id="rId72" /><Relationship Type="http://schemas.openxmlformats.org/officeDocument/2006/relationships/hyperlink" Target="file:///Users/kieunga/Downloads/Genius-2.9.0-Daily-Quota-round2-bang-chung/N117" TargetMode="External" Id="rId73" /><Relationship Type="http://schemas.openxmlformats.org/officeDocument/2006/relationships/hyperlink" Target="file:///Users/kieunga/Downloads/Genius-2.9.0-Daily-Quota-round2-bang-chung/N127" TargetMode="External" Id="rId74" /><Relationship Type="http://schemas.openxmlformats.org/officeDocument/2006/relationships/hyperlink" Target="file:///Users/kieunga/Downloads/Genius-2.9.0-Daily-Quota-round2-bang-chung/N131" TargetMode="External" Id="rId75" /><Relationship Type="http://schemas.openxmlformats.org/officeDocument/2006/relationships/hyperlink" Target="file:///Users/kieunga/Downloads/Genius-2.9.0-Daily-Quota-round2-bang-chung/N143" TargetMode="External" Id="rId76" /><Relationship Type="http://schemas.openxmlformats.org/officeDocument/2006/relationships/hyperlink" Target="file:///Users/kieunga/Downloads/Genius-2.9.0-Daily-Quota-round2-bang-chung/N147" TargetMode="External" Id="rId77" /><Relationship Type="http://schemas.openxmlformats.org/officeDocument/2006/relationships/hyperlink" Target="file:///Users/kieunga/Downloads/Genius-2.9.0-Daily-Quota-round2-bang-chung/N148" TargetMode="External" Id="rId78" /><Relationship Type="http://schemas.openxmlformats.org/officeDocument/2006/relationships/hyperlink" Target="file:///Users/kieunga/Downloads/Genius-2.9.0-Daily-Quota-round2-bang-chung/N150" TargetMode="External" Id="rId79" /><Relationship Type="http://schemas.openxmlformats.org/officeDocument/2006/relationships/hyperlink" Target="file:///Users/kieunga/Downloads/Genius-2.9.0-Daily-Quota-round2-bang-chung/N151" TargetMode="External" Id="rId80" /><Relationship Type="http://schemas.openxmlformats.org/officeDocument/2006/relationships/hyperlink" Target="file:///Users/kieunga/Downloads/Genius-2.9.0-Daily-Quota-round2-bang-chung/N152" TargetMode="External" Id="rId81" /><Relationship Type="http://schemas.openxmlformats.org/officeDocument/2006/relationships/hyperlink" Target="file:///Users/kieunga/Downloads/Genius-2.9.0-Daily-Quota-round2-bang-chung/N153" TargetMode="External" Id="rId82" /><Relationship Type="http://schemas.openxmlformats.org/officeDocument/2006/relationships/hyperlink" Target="file:///Users/kieunga/Downloads/Genius-2.9.0-Daily-Quota-round2-bang-chung/N154" TargetMode="External" Id="rId83" /><Relationship Type="http://schemas.openxmlformats.org/officeDocument/2006/relationships/hyperlink" Target="file:///Users/kieunga/Downloads/Genius-2.9.0-Daily-Quota-round2-bang-chung/N167" TargetMode="External" Id="rId84" /><Relationship Type="http://schemas.openxmlformats.org/officeDocument/2006/relationships/hyperlink" Target="file:///Users/kieunga/Downloads/Genius-2.9.0-Daily-Quota-round2-bang-chung/N168" TargetMode="External" Id="rId85" /><Relationship Type="http://schemas.openxmlformats.org/officeDocument/2006/relationships/hyperlink" Target="file:///Users/kieunga/Downloads/Genius-2.9.0-Daily-Quota-round2-bang-chung/N169" TargetMode="External" Id="rId86" /><Relationship Type="http://schemas.openxmlformats.org/officeDocument/2006/relationships/hyperlink" Target="file:///Users/kieunga/Downloads/Genius-2.9.0-Daily-Quota-round2-bang-chung/N170" TargetMode="External" Id="rId87" /></Relationships>
</file>

<file path=xl/worksheets/sheet1.xml><?xml version="1.0" encoding="utf-8"?>
<worksheet xmlns="http://schemas.openxmlformats.org/spreadsheetml/2006/main">
  <sheetPr filterMode="0">
    <outlinePr summaryBelow="1" summaryRight="1"/>
    <pageSetUpPr fitToPage="0"/>
  </sheetPr>
  <dimension ref="A1:L177"/>
  <sheetViews>
    <sheetView showFormulas="0" showGridLines="1" showRowColHeaders="1" showZeros="1" rightToLeft="0" tabSelected="1" showOutlineSymbols="1" defaultGridColor="1" view="normal" topLeftCell="A1" colorId="64" zoomScale="100" zoomScaleNormal="100" zoomScalePageLayoutView="100" workbookViewId="0">
      <pane xSplit="0" ySplit="2" topLeftCell="A177" activePane="bottomLeft" state="frozen"/>
      <selection pane="topLeft" activeCell="A1" activeCellId="0" sqref="A1"/>
      <selection pane="bottomLeft" activeCell="F177" activeCellId="0" sqref="F177"/>
    </sheetView>
  </sheetViews>
  <sheetFormatPr baseColWidth="8" defaultColWidth="8.6796875" defaultRowHeight="15" customHeight="0" zeroHeight="0" outlineLevelRow="0"/>
  <cols>
    <col width="5" customWidth="1" style="24" min="1" max="1"/>
    <col width="20" customWidth="1" style="24" min="2" max="2"/>
    <col width="30" customWidth="1" style="24" min="3" max="3"/>
    <col width="25" customWidth="1" style="24" min="4" max="4"/>
    <col width="40" customWidth="1" style="24" min="5" max="5"/>
    <col width="25" customWidth="1" style="24" min="6" max="6"/>
    <col width="40" customWidth="1" style="24" min="7" max="7"/>
    <col width="45" customWidth="1" style="24" min="8" max="8"/>
    <col width="12" customWidth="1" style="24" min="9" max="9"/>
    <col width="70" customWidth="1" style="25" min="10" max="10"/>
    <col width="45" customWidth="1" style="25" min="11" max="11"/>
    <col width="22" customWidth="1" style="25" min="12" max="12"/>
  </cols>
  <sheetData>
    <row r="1" ht="21.75" customHeight="1" s="25">
      <c r="B1" s="26" t="inlineStr">
        <is>
          <t>spec: IIP055.1.16 - Daily Generation Quota &amp; Topup</t>
        </is>
      </c>
    </row>
    <row r="2" ht="18" customHeight="1" s="25">
      <c r="A2" s="27" t="inlineStr">
        <is>
          <t>N°</t>
        </is>
      </c>
      <c r="B2" s="27" t="inlineStr">
        <is>
          <t>Feature</t>
        </is>
      </c>
      <c r="C2" s="27" t="inlineStr">
        <is>
          <t>Test Description</t>
        </is>
      </c>
      <c r="D2" s="27" t="inlineStr">
        <is>
          <t>Sub-scenario</t>
        </is>
      </c>
      <c r="E2" s="27" t="inlineStr">
        <is>
          <t>Precondition</t>
        </is>
      </c>
      <c r="F2" s="27" t="inlineStr">
        <is>
          <t>Test Data</t>
        </is>
      </c>
      <c r="G2" s="27" t="inlineStr">
        <is>
          <t>Action</t>
        </is>
      </c>
      <c r="H2" s="27" t="inlineStr">
        <is>
          <t>Expected Result</t>
        </is>
      </c>
      <c r="I2" s="28" t="inlineStr">
        <is>
          <t>PASS/FAIL</t>
        </is>
      </c>
      <c r="J2" s="29" t="inlineStr">
        <is>
          <t>Kết quả thực tế</t>
        </is>
      </c>
      <c r="K2" s="29" t="inlineStr">
        <is>
          <t>Ghi chú / nguồn kết quả</t>
        </is>
      </c>
      <c r="L2" s="29" t="inlineStr">
        <is>
          <t>Ảnh bằng chứng</t>
        </is>
      </c>
    </row>
    <row r="3" ht="15.75" customHeight="1" s="25">
      <c r="A3" s="30" t="inlineStr">
        <is>
          <t>▌ 1. Home Header — Badge số lượt &amp; nút Upgrade / Get Pro</t>
        </is>
      </c>
    </row>
    <row r="4" ht="285.75" customHeight="1" s="25">
      <c r="A4" s="31" t="n">
        <v>1</v>
      </c>
      <c r="B4" s="31" t="inlineStr">
        <is>
          <t>Home Header — Badge số lượt &amp; nút Upgrade / Get Pro</t>
        </is>
      </c>
      <c r="C4" s="32" t="inlineStr">
        <is>
          <t>UI</t>
        </is>
      </c>
      <c r="D4" s="32" t="inlineStr">
        <is>
          <t>Header Home của subscriber còn lượt — có badge số, không có nút Upgrade / Get Pro</t>
        </is>
      </c>
      <c r="E4"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subscriber (tài khoản sandbox mua sub mới, chu kỳ bắt đầu hôm nay 2026-10-24)
5. Bắt đầu sau mốc reset 07:00 giờ VN, chưa gen lần nào trong ngày, không còn topup dư (quota = Q, topup = 0)
6. Xác nhận trước khi test: 413 hiển thị "Q"
7. Có kết nối internet ổn định</t>
        </is>
      </c>
      <c r="F4" s="33" t="inlineStr">
        <is>
          <t>Ví ban đầu: quota = Q · topup = 0</t>
        </is>
      </c>
      <c r="G4" s="33" t="inlineStr">
        <is>
          <t>1. Mở app, vào 301 - Home
2. Quan sát header</t>
        </is>
      </c>
      <c r="H4" s="33" t="inlineStr">
        <is>
          <t>1. Header hiển thị badge số lượt chỉ gồm con số "Q", không kèm chữ
2. Header KHÔNG hiển thị nút "Upgrade" / Get Pro
3. Badge nằm đúng vị trí trên header theo Figma</t>
        </is>
      </c>
      <c r="I4" s="34" t="inlineStr">
        <is>
          <t>PASS</t>
        </is>
      </c>
      <c r="J4" s="35" t="inlineStr">
        <is>
          <t>KQ: subscriber còn lượt: badge=20 (Q=20) · nút Upgrade/Get Pro=false · topup=0</t>
        </is>
      </c>
      <c r="K4" s="35" t="inlineStr">
        <is>
          <t>Autotest vòng 2 24/10 · lượt r2sub-test01_buyWeeklyFromHome-171603</t>
        </is>
      </c>
      <c r="L4" s="36" t="inlineStr">
        <is>
          <t>1 ảnh — mở thư mục</t>
        </is>
      </c>
    </row>
    <row r="5" ht="207.75" customHeight="1" s="25">
      <c r="A5" s="31" t="n">
        <v>2</v>
      </c>
      <c r="B5" s="37" t="n"/>
      <c r="C5" s="31" t="inlineStr">
        <is>
          <t>Logic</t>
        </is>
      </c>
      <c r="D5" s="32" t="inlineStr">
        <is>
          <t>Badge hiển thị tổng 2 ví (topup + quota)</t>
        </is>
      </c>
      <c r="E5"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subscriber (tài khoản sandbox mua sub mới, chu kỳ bắt đầu hôm nay 2026-10-24)
5. Có kết nối internet ổn định</t>
        </is>
      </c>
      <c r="F5" s="33" t="inlineStr">
        <is>
          <t>quota=Q, topup=3 → badge Q + 3
Lặp cho: quota=0, topup=2 → 2
quota=Q − 1, topup=0 → Q − 1
quota=1, topup=0 → 1</t>
        </is>
      </c>
      <c r="G5" s="33" t="inlineStr">
        <is>
          <t>1. Đưa ví về trạng thái Test data: sau 07:00 VN gen (Q − quota) lần, sau đó mua đủ số topup
2. Kill app rồi mở lại vào Home
3. Đọc số trên badge</t>
        </is>
      </c>
      <c r="H5" s="33" t="inlineStr">
        <is>
          <t>1. Badge = topup_balance + quota_balance đúng cột kết quả trong Test data</t>
        </is>
      </c>
      <c r="I5" s="34" t="inlineStr">
        <is>
          <t>PASS</t>
        </is>
      </c>
      <c r="J5" s="35" t="inlineStr">
        <is>
          <t>badge=23 · quota 20 + topup 3 = 23</t>
        </is>
      </c>
      <c r="K5" s="35" t="inlineStr">
        <is>
          <t>KQ autotest 22/10 (TC cũ #2, lượt sub-test02_subBuyPullAndReadThreePlaces-163527)</t>
        </is>
      </c>
      <c r="L5" s="36" t="inlineStr">
        <is>
          <t>1 ảnh — mở thư mục</t>
        </is>
      </c>
    </row>
    <row r="6" ht="312" customHeight="1" s="25">
      <c r="A6" s="31" t="n">
        <v>3</v>
      </c>
      <c r="B6" s="37" t="n"/>
      <c r="C6" s="37" t="n"/>
      <c r="D6" s="32" t="inlineStr">
        <is>
          <t>Badge ẩn khi subscriber hết cả 2 ví — vẫn không có nút Upgrade / Get Pro</t>
        </is>
      </c>
      <c r="E6"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subscriber (tài khoản sandbox mua sub mới, chu kỳ bắt đầu hôm nay 2026-10-24)
5. Bắt đầu sau mốc reset 07:00 giờ VN, chưa gen lần nào trong ngày, không còn topup dư (quota = Q, topup = 0)
6. Gen thành công Q lần (dùng Enhance cho nhanh) để quota còn 0
7. Xác nhận trước khi test: 413 hiển thị "0"
8. Có kết nối internet ổn định</t>
        </is>
      </c>
      <c r="F6" s="33" t="inlineStr">
        <is>
          <t>Ví ban đầu: quota = 0 · topup = 0</t>
        </is>
      </c>
      <c r="G6" s="33" t="inlineStr">
        <is>
          <t>1. Mở app vào Home
2. Quan sát header</t>
        </is>
      </c>
      <c r="H6" s="33" t="inlineStr">
        <is>
          <t>1. Badge số lượt KHÔNG hiển thị (không hiện số 0)
2. Header KHÔNG hiển thị nút "Upgrade" / Get Pro dù badge đã ẩn</t>
        </is>
      </c>
      <c r="I6" s="34" t="inlineStr">
        <is>
          <t>PASS</t>
        </is>
      </c>
      <c r="J6" s="35" t="inlineStr">
        <is>
          <t>KQ: hết 2 ví: 413=0 · badge=ẩn · Upgrade/Get Pro=false</t>
        </is>
      </c>
      <c r="K6" s="35" t="inlineStr">
        <is>
          <t>Autotest vòng 2 24/10 · lượt r2sub-test08_exhaustQuotaThenBuy-183356</t>
        </is>
      </c>
      <c r="L6" s="36" t="inlineStr">
        <is>
          <t>1 ảnh — mở thư mục</t>
        </is>
      </c>
    </row>
    <row r="7" ht="207.75" customHeight="1" s="25">
      <c r="A7" s="31" t="n">
        <v>4</v>
      </c>
      <c r="B7" s="37" t="n"/>
      <c r="C7" s="37" t="n"/>
      <c r="D7" s="32" t="inlineStr">
        <is>
          <t>Free user chưa mua gì — badge ẩn, hiện nút Upgrade / Get Pro</t>
        </is>
      </c>
      <c r="E7"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free user (chưa mua sub, không có ví quota)
5. topup_balance = 0
6. Có kết nối internet ổn định</t>
        </is>
      </c>
      <c r="F7" s="33" t="inlineStr">
        <is>
          <t>N/A</t>
        </is>
      </c>
      <c r="G7" s="33" t="inlineStr">
        <is>
          <t>1. Mở app vào Home
2. Quan sát header</t>
        </is>
      </c>
      <c r="H7" s="33" t="inlineStr">
        <is>
          <t>1. Badge số lượt không hiển thị
2. Header hiển thị nút "Upgrade" / Get Pro
3. Không có chữ "Pro ✨" trên header (bug Round 2 #4)</t>
        </is>
      </c>
      <c r="I7" s="38" t="inlineStr">
        <is>
          <t>FAIL</t>
        </is>
      </c>
      <c r="J7" s="35" t="inlineStr">
        <is>
          <t>KQ: badge=ẩn · nút Upgrade/Get Pro=true ('Pro') · chữ 'Pro ✨'=false · topup=0</t>
        </is>
      </c>
      <c r="K7" s="35" t="inlineStr">
        <is>
          <t>Autotest vòng 2 24/10 · lượt r2free-test03_freeNoTopupHeader-162437 · CHẤM TAY: Chấm tay từ ảnh: nút Upgrade hiển thị 'Pro' + icon ✨ (Localizable home_button_upgrade='Pro', ✨ là icon) — Expected mục 3 cấm 'Pro ✨' (bug Round 2 #4); test đọc chữ không thấy ✨ nên tự chấm PASS.</t>
        </is>
      </c>
      <c r="L7" s="36" t="inlineStr">
        <is>
          <t>2 ảnh — mở thư mục</t>
        </is>
      </c>
    </row>
    <row r="8" ht="234" customHeight="1" s="25">
      <c r="A8" s="31" t="n">
        <v>5</v>
      </c>
      <c r="B8" s="37" t="n"/>
      <c r="C8" s="37" t="n"/>
      <c r="D8" s="32" t="inlineStr">
        <is>
          <t>Free user đã mua topup — badge vẫn ẩn, vẫn hiện nút Upgrade / Get Pro</t>
        </is>
      </c>
      <c r="E8"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free user (chưa mua sub, không có ví quota)
5. Free user mua 2 lượt topup qua Setting → My Balance → Get More (sandbox), chưa dùng
6. Có kết nối internet ổn định</t>
        </is>
      </c>
      <c r="F8" s="33" t="inlineStr">
        <is>
          <t>Ví ban đầu: topup = 2</t>
        </is>
      </c>
      <c r="G8" s="33" t="inlineStr">
        <is>
          <t>1. Mở app vào Home
2. Quan sát header</t>
        </is>
      </c>
      <c r="H8" s="33" t="inlineStr">
        <is>
          <t>1. Badge số lượt không hiển thị dù topup_balance = 2
2. Header vẫn hiển thị nút "Upgrade" / Get Pro (mua topup không phải mua gói)</t>
        </is>
      </c>
      <c r="I8" s="38" t="inlineStr">
        <is>
          <t>FAIL</t>
        </is>
      </c>
      <c r="J8" s="35" t="inlineStr">
        <is>
          <t>KQ: user không gói có topup: badge=2 · nút Upgrade/Get Pro=true · tier=noSubscription · apple isActive=false · topup=2 (user từng có sub, đã hết hạn)</t>
        </is>
      </c>
      <c r="K8" s="35" t="inlineStr">
        <is>
          <t>Autotest vòng 2 24/10 · lượt r2free-test01_expiredSubWithTopup-161157</t>
        </is>
      </c>
      <c r="L8" s="36" t="inlineStr">
        <is>
          <t>3 ảnh — mở thư mục</t>
        </is>
      </c>
    </row>
    <row r="9" ht="181.5" customHeight="1" s="25">
      <c r="A9" s="31" t="n">
        <v>6</v>
      </c>
      <c r="B9" s="37" t="n"/>
      <c r="C9" s="37" t="n"/>
      <c r="D9" s="32" t="inlineStr">
        <is>
          <t>Grandfather — badge ẩn, không có nút Upgrade / Get Pro</t>
        </is>
      </c>
      <c r="E9" s="33" t="inlineStr">
        <is>
          <t>1. RC (Firebase): enable_daily_quota = true · enable_topup = true · topup_offer_max_per_day = 1
2. CMS: số lượt/ngày = Q (PO cấu hình trên CMS, mặc định 20; mọi số lượt trong TC tính theo Q)
3. RC: quota_grandfather_until = 2026-10-25T00:00:00Z (= hôm nay + 1, ngày tương lai → app chạy cơ chế cũ) — user là subscriber, chu kỳ bắt đầu hôm nay (trước mốc) → grandfather
4. Có kết nối internet ổn định</t>
        </is>
      </c>
      <c r="F9" s="33" t="inlineStr">
        <is>
          <t>N/A</t>
        </is>
      </c>
      <c r="G9" s="33" t="inlineStr">
        <is>
          <t>1. Mở app vào Home
2. Quan sát header</t>
        </is>
      </c>
      <c r="H9" s="33" t="inlineStr">
        <is>
          <t>1. Badge số lượt không hiển thị
2. Header KHÔNG hiển thị nút "Upgrade" / Get Pro</t>
        </is>
      </c>
      <c r="I9" s="34" t="inlineStr">
        <is>
          <t>PASS</t>
        </is>
      </c>
      <c r="J9" s="35" t="inlineStr">
        <is>
          <t>KQ: badge=ẩn · Upgrade/Get Pro=false · RC=2026-10-26T00:00:00Z · tier=unlimitedV1 · isUnlimitedGen=true · latestPurchase=2026-10-25 11:13:44</t>
        </is>
      </c>
      <c r="K9" s="35" t="inlineStr">
        <is>
          <t>Autotest vòng 2 24/10 · lượt r2fin-test04_grandfatherState-112203</t>
        </is>
      </c>
      <c r="L9" s="36" t="inlineStr">
        <is>
          <t>2 ảnh — mở thư mục</t>
        </is>
      </c>
    </row>
    <row r="10" ht="351" customHeight="1" s="25">
      <c r="A10" s="31" t="n">
        <v>7</v>
      </c>
      <c r="B10" s="37" t="n"/>
      <c r="C10" s="37" t="n"/>
      <c r="D10" s="32" t="inlineStr">
        <is>
          <t>Tap badge → push 413 với cùng con số</t>
        </is>
      </c>
      <c r="E10"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subscriber (tài khoản sandbox mua sub mới, chu kỳ bắt đầu hôm nay 2026-10-24)
5. Bắt đầu sau mốc reset 07:00 giờ VN, chưa gen lần nào trong ngày, không còn topup dư (quota = Q, topup = 0)
6. Sau khi gen xong mới mua 3 lượt topup qua 413 → Get More (topup bị tiêu trước nên phải mua sau)
7. Xác nhận trước khi test: 413 hiển thị "Q + 3", màn topup hiển thị "3 top-up creations left"
8. Có kết nối internet ổn định</t>
        </is>
      </c>
      <c r="F10" s="33" t="inlineStr">
        <is>
          <t>Ví ban đầu: quota = Q · topup = 3</t>
        </is>
      </c>
      <c r="G10" s="33" t="inlineStr">
        <is>
          <t>1. Ở Home, tap badge số lượt
2. Quan sát màn được mở</t>
        </is>
      </c>
      <c r="H10" s="33" t="inlineStr">
        <is>
          <t>1. Push sang 413 - My Balance
2. Thẻ 413 hiển thị "Q + 3" — trùng số trên badge, không nhảy số</t>
        </is>
      </c>
      <c r="I10" s="34" t="inlineStr">
        <is>
          <t>PASS</t>
        </is>
      </c>
      <c r="J10" s="35" t="inlineStr">
        <is>
          <t>tap badge → 413=true · thẻ 23 vs badge 23</t>
        </is>
      </c>
      <c r="K10" s="35" t="inlineStr">
        <is>
          <t>KQ autotest 22/10 (TC cũ #7, lượt sub-test02_subBuyPullAndReadThreePlaces-163527)</t>
        </is>
      </c>
      <c r="L10" s="36" t="inlineStr">
        <is>
          <t>1 ảnh — mở thư mục</t>
        </is>
      </c>
    </row>
    <row r="11" ht="285.75" customHeight="1" s="25">
      <c r="A11" s="31" t="n">
        <v>8</v>
      </c>
      <c r="B11" s="37" t="n"/>
      <c r="C11" s="37" t="n"/>
      <c r="D11" s="32" t="inlineStr">
        <is>
          <t>Badge cập nhật ngay sau COMMIT (không cần mở lại app)</t>
        </is>
      </c>
      <c r="E11"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subscriber (tài khoản sandbox mua sub mới, chu kỳ bắt đầu hôm nay 2026-10-24)
5. Bắt đầu sau mốc reset 07:00 giờ VN, chưa gen lần nào trong ngày, không còn topup dư (quota = Q, topup = 0)
6. Xác nhận trước khi test: 413 hiển thị "Q"
7. Có kết nối internet ổn định</t>
        </is>
      </c>
      <c r="F11" s="33" t="inlineStr">
        <is>
          <t>Ví ban đầu: quota = Q · topup = 0</t>
        </is>
      </c>
      <c r="G11" s="33" t="inlineStr">
        <is>
          <t>1. Vào feature i2i, chọn ảnh + style, bấm Generate
2. Chờ gen thành công
3. Quay lại Home (không kill app)</t>
        </is>
      </c>
      <c r="H11" s="33" t="inlineStr">
        <is>
          <t>1. Badge hiển thị "Q − 1" ngay khi về Home</t>
        </is>
      </c>
      <c r="I11" s="34" t="inlineStr">
        <is>
          <t>PASS</t>
        </is>
      </c>
      <c r="J11" s="35" t="inlineStr">
        <is>
          <t>gen result → badge 20 → 19 không mở lại app</t>
        </is>
      </c>
      <c r="K11" s="35" t="inlineStr">
        <is>
          <t>KQ autotest 22/10 (TC cũ #8, lượt sub-test04_fullQuotaHeaderAndFlatCount-164610)</t>
        </is>
      </c>
      <c r="L11" s="36" t="inlineStr">
        <is>
          <t>1 ảnh — mở thư mục</t>
        </is>
      </c>
    </row>
    <row r="12" ht="285.75" customHeight="1" s="25">
      <c r="A12" s="31" t="n">
        <v>9</v>
      </c>
      <c r="B12" s="37" t="n"/>
      <c r="C12" s="37" t="n"/>
      <c r="D12" s="32" t="inlineStr">
        <is>
          <t>Badge cập nhật ngay sau khi mua topup qua pull</t>
        </is>
      </c>
      <c r="E12"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subscriber (tài khoản sandbox mua sub mới, chu kỳ bắt đầu hôm nay 2026-10-24)
5. Bắt đầu sau mốc reset 07:00 giờ VN, chưa gen lần nào trong ngày, không còn topup dư (quota = Q, topup = 0)
6. Xác nhận trước khi test: 413 hiển thị "Q"
7. Có kết nối internet ổn định</t>
        </is>
      </c>
      <c r="F12" s="33" t="inlineStr">
        <is>
          <t>Ví ban đầu: quota = Q · topup = 0</t>
        </is>
      </c>
      <c r="G12" s="33" t="inlineStr">
        <is>
          <t>1. Home → tap badge → 413 → Get More
2. Mua 1 package $0.99 thành công
3. Đóng 482, back về Home</t>
        </is>
      </c>
      <c r="H12" s="33" t="inlineStr">
        <is>
          <t>1. Badge hiển thị "Q + 1" ngay khi về Home</t>
        </is>
      </c>
      <c r="I12" s="34" t="inlineStr">
        <is>
          <t>PASS</t>
        </is>
      </c>
      <c r="J12" s="35" t="inlineStr">
        <is>
          <t>badge 18 → 19 ngay khi về Home (spec 20 → 21)</t>
        </is>
      </c>
      <c r="K12" s="35" t="inlineStr">
        <is>
          <t>KQ autotest 22/10 (TC cũ #9, lượt sub-test05_pullBuyUpdatesBadge-165208)</t>
        </is>
      </c>
      <c r="L12" s="36" t="inlineStr">
        <is>
          <t>1 ảnh — mở thư mục</t>
        </is>
      </c>
    </row>
    <row r="13" ht="312" customHeight="1" s="25">
      <c r="A13" s="31" t="n">
        <v>10</v>
      </c>
      <c r="B13" s="37" t="n"/>
      <c r="C13" s="37" t="n"/>
      <c r="D13" s="32" t="inlineStr">
        <is>
          <t>Badge biến mất ngay khi dùng hết lượt cuối</t>
        </is>
      </c>
      <c r="E13"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subscriber (tài khoản sandbox mua sub mới, chu kỳ bắt đầu hôm nay 2026-10-24)
5. Bắt đầu sau mốc reset 07:00 giờ VN, chưa gen lần nào trong ngày, không còn topup dư (quota = Q, topup = 0)
6. Gen thành công (Q − 1) lần (dùng Enhance cho nhanh) để quota còn 1
7. Xác nhận trước khi test: 413 hiển thị "1"
8. Có kết nối internet ổn định</t>
        </is>
      </c>
      <c r="F13" s="33" t="inlineStr">
        <is>
          <t>Ví ban đầu: quota = 1 · topup = 0</t>
        </is>
      </c>
      <c r="G13" s="33" t="inlineStr">
        <is>
          <t>1. Gen thành công 1 lần ở feature bất kỳ
2. Quay lại Home</t>
        </is>
      </c>
      <c r="H13" s="33" t="inlineStr">
        <is>
          <t>1. Badge không còn hiển thị (không hiện "0")
2. Header KHÔNG hiển thị nút "Upgrade" / Get Pro</t>
        </is>
      </c>
      <c r="I13" s="34" t="inlineStr">
        <is>
          <t>PASS</t>
        </is>
      </c>
      <c r="J13" s="35" t="inlineStr">
        <is>
          <t>hết lượt cuối: badge=ẩn · pill='không có pill'</t>
        </is>
      </c>
      <c r="K13" s="35" t="inlineStr">
        <is>
          <t>KQ autotest 22/10 (TC cũ #10, lượt sub-test10_quota1-173504) · chấm lại theo Expected mới: Expected mới bỏ pill: badge ẩn + không có nút Upgrade/Get Pro — đúng.</t>
        </is>
      </c>
      <c r="L13" s="36" t="inlineStr">
        <is>
          <t>1 ảnh — mở thư mục</t>
        </is>
      </c>
    </row>
    <row r="14" ht="351" customHeight="1" s="25">
      <c r="A14" s="31" t="n">
        <v>11</v>
      </c>
      <c r="B14" s="37" t="n"/>
      <c r="C14" s="39" t="n"/>
      <c r="D14" s="32" t="inlineStr">
        <is>
          <t>Badge hiện lại sau mốc reset khi app vào foreground</t>
        </is>
      </c>
      <c r="E14"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subscriber (tài khoản sandbox mua sub mới, chu kỳ bắt đầu hôm nay 2026-10-24)
5. Bắt đầu sau mốc reset 07:00 giờ VN, chưa gen lần nào trong ngày, không còn topup dư (quota = Q, topup = 0)
6. Gen thành công Q lần (dùng Enhance cho nhanh) để quota còn 0
7. Xác nhận trước khi test: 413 hiển thị "0"
8. Badge đang ẩn
9. App ở background
10. Có kết nối internet ổn định</t>
        </is>
      </c>
      <c r="F14" s="33" t="inlineStr">
        <is>
          <t>Ví ban đầu: quota = 0 · topup = 0</t>
        </is>
      </c>
      <c r="G14" s="33" t="inlineStr">
        <is>
          <t>1. Chờ qua mốc reset 07:00 giờ VN (00:00 UTC)
2. Đưa app về foreground, vào Home, refresh màn Home</t>
        </is>
      </c>
      <c r="H14" s="33" t="inlineStr">
        <is>
          <t>1. Badge hiển thị lại với số "Q"</t>
        </is>
      </c>
      <c r="I14" s="40" t="inlineStr">
        <is>
          <t>Pending</t>
        </is>
      </c>
      <c r="J14" s="35" t="inlineStr"/>
      <c r="K14" s="35" t="inlineStr">
        <is>
          <t>Pending (user 24/10 17:41): cần khung 06:50–07:10 sáng (mốc reset 00:00 UTC) — chưa test</t>
        </is>
      </c>
    </row>
    <row r="15" ht="285.75" customHeight="1" s="25">
      <c r="A15" s="31" t="n">
        <v>12</v>
      </c>
      <c r="B15" s="37" t="n"/>
      <c r="C15" s="31" t="inlineStr">
        <is>
          <t>Edge Case</t>
        </is>
      </c>
      <c r="D15" s="32" t="inlineStr">
        <is>
          <t>Subscriber hết hạn sub, còn topup — header chuyển về free</t>
        </is>
      </c>
      <c r="E15"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subscriber (tài khoản sandbox mua sub mới, chu kỳ bắt đầu hôm nay 2026-10-24)
5. Đã mua 2 lượt topup (sandbox), chưa dùng — màn topup hiển thị "2 top-up creations left"
6. Sub sắp hết hạn (sandbox renew ngắn) và đã tắt auto-renew
7. Có kết nối internet ổn định</t>
        </is>
      </c>
      <c r="F15" s="33" t="inlineStr">
        <is>
          <t>Ví ban đầu: topup = 2</t>
        </is>
      </c>
      <c r="G15" s="33" t="inlineStr">
        <is>
          <t>1. Chờ sub hết hạn
2. Kill app, mở lại vào Home</t>
        </is>
      </c>
      <c r="H15" s="33" t="inlineStr">
        <is>
          <t>1. Badge số lượt ẩn
2. Header hiển thị lại nút "Upgrade" / Get Pro</t>
        </is>
      </c>
      <c r="I15" s="38" t="inlineStr">
        <is>
          <t>FAIL</t>
        </is>
      </c>
      <c r="J15" s="35" t="inlineStr">
        <is>
          <t>KQ: sub hết hạn còn topup: badge=2 · nút Upgrade/Get Pro=true ('Pro') · tier=noSubscription · apple isActive=false · topup=2</t>
        </is>
      </c>
      <c r="K15" s="35" t="inlineStr">
        <is>
          <t>Autotest vòng 2 24/10 · lượt r2free-test01_expiredSubWithTopup-161157</t>
        </is>
      </c>
      <c r="L15" s="36" t="inlineStr">
        <is>
          <t>6 ảnh — mở thư mục</t>
        </is>
      </c>
    </row>
    <row r="16" ht="207.75" customHeight="1" s="25">
      <c r="A16" s="31" t="n">
        <v>13</v>
      </c>
      <c r="B16" s="37" t="n"/>
      <c r="C16" s="37" t="n"/>
      <c r="D16" s="32" t="inlineStr">
        <is>
          <t>Free user mua sub — header chuyển sang subscriber</t>
        </is>
      </c>
      <c r="E16"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free user (chưa mua sub, không có ví quota)
5. topup_balance = 0
6. Có kết nối internet ổn định</t>
        </is>
      </c>
      <c r="F16" s="33" t="inlineStr">
        <is>
          <t>N/A</t>
        </is>
      </c>
      <c r="G16" s="33" t="inlineStr">
        <is>
          <t>1. Mở paywall sub từ Home
2. Mua gói Weekly thành công
3. Quay lại Home</t>
        </is>
      </c>
      <c r="H16" s="33" t="inlineStr">
        <is>
          <t>1. Nút "Upgrade" / Get Pro biến mất khỏi header
2. Badge hiển thị "Q"
3. quota Q được cấp ngay khi mua</t>
        </is>
      </c>
      <c r="I16" s="34" t="inlineStr">
        <is>
          <t>PASS</t>
        </is>
      </c>
      <c r="J16" s="35" t="inlineStr">
        <is>
          <t>KQ: mua Weekly rời paywall=true · nút Upgrade/Get Pro còn=false · badge=20 · 413=20 (quota 20, topup 0) · Q(quotaLimit)=20 · tier=creditV3 · latestPurchase=2026-10-24 17:18:18 · productId=iip055.weekly.9.99 · ví trước 0/topup 0</t>
        </is>
      </c>
      <c r="K16" s="35" t="inlineStr">
        <is>
          <t>Autotest vòng 2 24/10 · lượt r2sub-test01_buyWeeklyFromHome-171603</t>
        </is>
      </c>
      <c r="L16" s="36" t="inlineStr">
        <is>
          <t>5 ảnh — mở thư mục</t>
        </is>
      </c>
    </row>
    <row r="17" ht="273" customHeight="1" s="25">
      <c r="A17" s="31" t="n">
        <v>14</v>
      </c>
      <c r="B17" s="39" t="n"/>
      <c r="C17" s="39" t="n"/>
      <c r="D17" s="32" t="inlineStr">
        <is>
          <t>Mở Home khi offline — header không hiện số sai</t>
        </is>
      </c>
      <c r="E17"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subscriber (tài khoản sandbox mua sub mới, chu kỳ bắt đầu hôm nay 2026-10-24)
5. Bắt đầu sau mốc reset 07:00 giờ VN, chưa gen lần nào trong ngày, không còn topup dư (quota = Q, topup = 0)
6. Xác nhận trước khi test: 413 hiển thị "Q"
7. Bật Airplane Mode</t>
        </is>
      </c>
      <c r="F17" s="33" t="inlineStr">
        <is>
          <t>Ví ban đầu: quota = Q · topup = 0</t>
        </is>
      </c>
      <c r="G17" s="33" t="inlineStr">
        <is>
          <t>1. Kill app, mở lại vào Home
2. Quan sát header</t>
        </is>
      </c>
      <c r="H17" s="33" t="inlineStr">
        <is>
          <t>1. offline thì badge hiện số cache gần nhất]
2. Header KHÔNG hiển thị nút "Upgrade" / Get Pro</t>
        </is>
      </c>
      <c r="I17" s="38" t="inlineStr">
        <is>
          <t>FAIL</t>
        </is>
      </c>
      <c r="J17" s="35" t="inlineStr">
        <is>
          <t>offline mở lại app: badge=ẩn (số online 9) · pill='không có pill' (spec mơ hồ #7)</t>
        </is>
      </c>
      <c r="K17" s="35" t="inlineStr">
        <is>
          <t>KQ autotest 22/10 (TC cũ #14, lượt sub-test07_quota10-170639) · chấm lại theo Expected mới: Expected mới: offline hiện số cache. Thực tế badge ẩn (số online 9).</t>
        </is>
      </c>
      <c r="L17" s="36" t="inlineStr">
        <is>
          <t>1 ảnh — mở thư mục</t>
        </is>
      </c>
    </row>
    <row r="18" ht="15.75" customHeight="1" s="25">
      <c r="A18" s="30" t="inlineStr">
        <is>
          <t>▌ 2. 410 Setting — dòng My Balance</t>
        </is>
      </c>
    </row>
    <row r="19" ht="207.75" customHeight="1" s="25">
      <c r="A19" s="31" t="n">
        <v>15</v>
      </c>
      <c r="B19" s="31" t="inlineStr">
        <is>
          <t>410 Setting — dòng My Balance</t>
        </is>
      </c>
      <c r="C19" s="32" t="inlineStr">
        <is>
          <t>UI</t>
        </is>
      </c>
      <c r="D19" s="32" t="inlineStr">
        <is>
          <t>Dòng My Balance trong nhóm General</t>
        </is>
      </c>
      <c r="E19"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subscriber (tài khoản sandbox mua sub mới, chu kỳ bắt đầu hôm nay 2026-10-24)
5. Có kết nối internet ổn định</t>
        </is>
      </c>
      <c r="F19" s="33" t="inlineStr">
        <is>
          <t>N/A</t>
        </is>
      </c>
      <c r="G19" s="33" t="inlineStr">
        <is>
          <t>1. Home → icon Setting → 410
2. Quan sát nhóm General</t>
        </is>
      </c>
      <c r="H19" s="33" t="inlineStr">
        <is>
          <t>1. Có dòng "My Balance" nằm ngay dưới dòng "Rate us" trong nhóm General
2. Style dòng đồng nhất với các dòng khác trong nhóm</t>
        </is>
      </c>
      <c r="I19" s="34" t="inlineStr">
        <is>
          <t>PASS</t>
        </is>
      </c>
      <c r="J19" s="35" t="inlineStr">
        <is>
          <t>My Balance ngay dưới Rate us=true · trong nhóm General=true · cùng style (x, cao)=true · (chạy với free user; layout không phụ thuộc loại user)</t>
        </is>
      </c>
      <c r="K19" s="35" t="inlineStr">
        <is>
          <t>KQ autotest 22/10 (TC cũ #15, lượt free-test02_headerSettingMyBalanceTopup-153427)</t>
        </is>
      </c>
      <c r="L19" s="36" t="inlineStr">
        <is>
          <t>1 ảnh — mở thư mục</t>
        </is>
      </c>
    </row>
    <row r="20" ht="156" customHeight="1" s="25">
      <c r="A20" s="31" t="n">
        <v>16</v>
      </c>
      <c r="B20" s="37" t="n"/>
      <c r="C20" s="31" t="inlineStr">
        <is>
          <t>Logic</t>
        </is>
      </c>
      <c r="D20" s="32" t="inlineStr">
        <is>
          <t>Mọi loại user đều thấy và vào được 413 qua Setting</t>
        </is>
      </c>
      <c r="E20"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Có kết nối internet ổn định</t>
        </is>
      </c>
      <c r="F20" s="33" t="inlineStr">
        <is>
          <t>Lặp cho: free user (topup=0)
free user (topup=2)
grandfather
subscriber còn lượt
subscriber hết cả 2 ví</t>
        </is>
      </c>
      <c r="G20" s="33" t="inlineStr">
        <is>
          <t>1. Đăng nhập loại user theo Test data
2. Vào Setting → tap "My Balance"</t>
        </is>
      </c>
      <c r="H20" s="33" t="inlineStr">
        <is>
          <t>1. Dòng "My Balance" luôn hiển thị
2. Tap → push 413 - My Balance</t>
        </is>
      </c>
      <c r="I20" s="34" t="inlineStr">
        <is>
          <t>PASS</t>
        </is>
      </c>
      <c r="J20" s="35" t="inlineStr">
        <is>
          <t>free (topup 0): dòng My Balance hiện + chạm → 413=true (các loại user khác: chạy ở phase sau)</t>
        </is>
      </c>
      <c r="K20" s="35" t="inlineStr">
        <is>
          <t>KQ autotest 22/10 (TC cũ #16, lượt free-test02_headerSettingMyBalanceTopup-153427)</t>
        </is>
      </c>
      <c r="L20" s="36" t="inlineStr">
        <is>
          <t>3 ảnh — mở thư mục</t>
        </is>
      </c>
    </row>
    <row r="21" ht="195" customHeight="1" s="25">
      <c r="A21" s="31" t="n">
        <v>17</v>
      </c>
      <c r="B21" s="39" t="n"/>
      <c r="C21" s="39" t="n"/>
      <c r="D21" s="32" t="inlineStr">
        <is>
          <t>Back từ 413 về Setting</t>
        </is>
      </c>
      <c r="E21"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subscriber (tài khoản sandbox mua sub mới, chu kỳ bắt đầu hôm nay 2026-10-24)
5. Đang ở 413 mở từ Setting</t>
        </is>
      </c>
      <c r="F21" s="33" t="inlineStr">
        <is>
          <t>N/A</t>
        </is>
      </c>
      <c r="G21" s="33" t="inlineStr">
        <is>
          <t>1. Bấm back</t>
        </is>
      </c>
      <c r="H21" s="33" t="inlineStr">
        <is>
          <t>1. Quay về 410 - Setting, giữ vị trí scroll</t>
        </is>
      </c>
      <c r="I21" s="34" t="inlineStr">
        <is>
          <t>PASS</t>
        </is>
      </c>
      <c r="J21" s="35" t="inlineStr">
        <is>
          <t>về Setting=true · vị trí dòng My Balance trước 515 / sau 515</t>
        </is>
      </c>
      <c r="K21" s="35" t="inlineStr">
        <is>
          <t>KQ autotest 22/10 (TC cũ #17, lượt free-test02_headerSettingMyBalanceTopup-153427)</t>
        </is>
      </c>
      <c r="L21" s="36" t="inlineStr">
        <is>
          <t>1 ảnh — mở thư mục</t>
        </is>
      </c>
    </row>
    <row r="22" ht="15.75" customHeight="1" s="25">
      <c r="A22" s="30" t="inlineStr">
        <is>
          <t>▌ 3. 413 My Balance</t>
        </is>
      </c>
    </row>
    <row r="23" ht="351" customHeight="1" s="25">
      <c r="A23" s="31" t="n">
        <v>18</v>
      </c>
      <c r="B23" s="31" t="inlineStr">
        <is>
          <t>413 My Balance</t>
        </is>
      </c>
      <c r="C23" s="32" t="inlineStr">
        <is>
          <t>UI</t>
        </is>
      </c>
      <c r="D23" s="32" t="inlineStr">
        <is>
          <t>Layout 413 — chỉ có thẻ số + nút Get More</t>
        </is>
      </c>
      <c r="E23"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subscriber (tài khoản sandbox mua sub mới, chu kỳ bắt đầu hôm nay 2026-10-24)
5. Bắt đầu sau mốc reset 07:00 giờ VN, chưa gen lần nào trong ngày, không còn topup dư (quota = Q, topup = 0)
6. Sau khi gen xong mới mua 3 lượt topup qua 413 → Get More (topup bị tiêu trước nên phải mua sau)
7. Xác nhận trước khi test: 413 hiển thị "Q + 3", màn topup hiển thị "3 top-up creations left"
8. Có kết nối internet ổn định</t>
        </is>
      </c>
      <c r="F23" s="33" t="inlineStr">
        <is>
          <t>Ví ban đầu: quota = Q · topup = 3</t>
        </is>
      </c>
      <c r="G23" s="33" t="inlineStr">
        <is>
          <t>1. Vào 413 qua Setting
2. Quan sát toàn màn</t>
        </is>
      </c>
      <c r="H23" s="33" t="inlineStr">
        <is>
          <t>1. Tiêu đề màn "My Balance"
2. Thẻ có nhãn "Available creations" + số "Q + 3"
3. Nút "Get More" ghim ở đáy màn
4. KHÔNG có: đồng hồ đếm ngược, lịch sử giao dịch, dòng nhắc thứ tự tiêu</t>
        </is>
      </c>
      <c r="I23" s="38" t="inlineStr">
        <is>
          <t>FAIL</t>
        </is>
      </c>
      <c r="J23" s="35" t="inlineStr">
        <is>
          <t>subscriber q20+t3: thẻ 23 · nhãn 'Today's available creations' (spec 'Available creations') · My Balance · Today's available creations · 23 · Creations · Get More · Back · Get More</t>
        </is>
      </c>
      <c r="K23" s="35" t="inlineStr">
        <is>
          <t>KQ autotest 22/10 (TC cũ #18, lượt sub-test02_subBuyPullAndReadThreePlaces-163527)</t>
        </is>
      </c>
      <c r="L23" s="36" t="inlineStr">
        <is>
          <t>1 ảnh — mở thư mục</t>
        </is>
      </c>
    </row>
    <row r="24" ht="207.75" customHeight="1" s="25">
      <c r="A24" s="31" t="n">
        <v>19</v>
      </c>
      <c r="B24" s="37" t="n"/>
      <c r="C24" s="32" t="inlineStr">
        <is>
          <t>Validate</t>
        </is>
      </c>
      <c r="D24" s="32" t="inlineStr">
        <is>
          <t>Copy 413 không chứa "Today's", "credit", "quota"</t>
        </is>
      </c>
      <c r="E24"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subscriber (tài khoản sandbox mua sub mới, chu kỳ bắt đầu hôm nay 2026-10-24)
5. Có kết nối internet ổn định</t>
        </is>
      </c>
      <c r="F24" s="33" t="inlineStr">
        <is>
          <t>N/A</t>
        </is>
      </c>
      <c r="G24" s="33" t="inlineStr">
        <is>
          <t>1. Vào 413
2. Đọc toàn bộ text trên màn</t>
        </is>
      </c>
      <c r="H24" s="33" t="inlineStr">
        <is>
          <t>1. Nhãn là "Available creations" (không phải "Today's available creations")
2. Không xuất hiện chữ "credit" hay "quota" ở bất kỳ đâu</t>
        </is>
      </c>
      <c r="I24" s="38" t="inlineStr">
        <is>
          <t>FAIL</t>
        </is>
      </c>
      <c r="J24" s="35" t="inlineStr">
        <is>
          <t>chữ vi phạm trên 413: Today's available creations</t>
        </is>
      </c>
      <c r="K24" s="35" t="inlineStr">
        <is>
          <t>KQ autotest 22/10 (TC cũ #19, lượt free-test02_headerSettingMyBalanceTopup-153427)</t>
        </is>
      </c>
      <c r="L24" s="36" t="inlineStr">
        <is>
          <t>3 ảnh — mở thư mục</t>
        </is>
      </c>
    </row>
    <row r="25" ht="324.75" customHeight="1" s="25">
      <c r="A25" s="31" t="n">
        <v>20</v>
      </c>
      <c r="B25" s="37" t="n"/>
      <c r="C25" s="31" t="inlineStr">
        <is>
          <t>Logic</t>
        </is>
      </c>
      <c r="D25" s="32" t="inlineStr">
        <is>
          <t>Subscriber còn quota — KHÔNG hiện dòng nhắc thứ tự tiêu (chốt 19/08)</t>
        </is>
      </c>
      <c r="E25"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subscriber (tài khoản sandbox mua sub mới, chu kỳ bắt đầu hôm nay 2026-10-24)
5. Bắt đầu sau mốc reset 07:00 giờ VN, chưa gen lần nào trong ngày, không còn topup dư (quota = Q, topup = 0)
6. Gen thành công 1 lần (dùng Enhance cho nhanh) để quota còn Q − 1
7. Xác nhận trước khi test: 413 hiển thị "Q − 1"
8. Có kết nối internet ổn định</t>
        </is>
      </c>
      <c r="F25" s="33" t="inlineStr">
        <is>
          <t>Ví ban đầu: quota = Q − 1 · topup = 0</t>
        </is>
      </c>
      <c r="G25" s="33" t="inlineStr">
        <is>
          <t>1. Vào 413
2. Quan sát vùng dưới thẻ</t>
        </is>
      </c>
      <c r="H25" s="33" t="inlineStr">
        <is>
          <t>1. Thẻ hiển thị "Q − 1"
2. Không có câu "Bạn còn {Q − 1} lượt hôm nay. Lượt mua thêm sẽ được dùng trước."</t>
        </is>
      </c>
      <c r="I25" s="34" t="inlineStr">
        <is>
          <t>PASS</t>
        </is>
      </c>
      <c r="J25" s="35" t="inlineStr">
        <is>
          <t>quota 15: thẻ 15 · dòng nhắc: không</t>
        </is>
      </c>
      <c r="K25" s="35" t="inlineStr">
        <is>
          <t>KQ autotest 22/10 (TC cũ #20, lượt sub-test06_quota15-165630)</t>
        </is>
      </c>
      <c r="L25" s="36" t="inlineStr">
        <is>
          <t>1 ảnh — mở thư mục</t>
        </is>
      </c>
    </row>
    <row r="26" ht="156" customHeight="1" s="25">
      <c r="A26" s="31" t="n">
        <v>21</v>
      </c>
      <c r="B26" s="37" t="n"/>
      <c r="C26" s="37" t="n"/>
      <c r="D26" s="32" t="inlineStr">
        <is>
          <t>Thẻ 413 hiển thị đúng số theo từng loại user</t>
        </is>
      </c>
      <c r="E26"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Có kết nối internet ổn định</t>
        </is>
      </c>
      <c r="F26" s="33" t="inlineStr">
        <is>
          <t>Sub quota=Q, topup=0 → Q
Sub quota=0, topup=2 → 2
Sub quota=0, topup=0 → 0
Free topup=0 → 0
Free topup=2 → 2</t>
        </is>
      </c>
      <c r="G26" s="33" t="inlineStr">
        <is>
          <t>1. Đăng nhập user và đưa ví về trạng thái Test data bằng gen / mua topup thật
2. Vào Setting → My Balance
3. Đọc số trên thẻ</t>
        </is>
      </c>
      <c r="H26" s="33" t="inlineStr">
        <is>
          <t>1. Thẻ hiển thị đúng giá trị cột kết quả trong Test data
2. Nút "Get More" hiển thị ở mọi trường hợp</t>
        </is>
      </c>
      <c r="I26" s="34" t="inlineStr">
        <is>
          <t>PASS</t>
        </is>
      </c>
      <c r="J26" s="35" t="inlineStr">
        <is>
          <t>sub q0 t0 → 413=0</t>
        </is>
      </c>
      <c r="K26" s="35" t="inlineStr">
        <is>
          <t>KQ autotest 22/10 (TC cũ #21, lượt sub-test11_exhausted481-174238)</t>
        </is>
      </c>
      <c r="L26" s="36" t="inlineStr">
        <is>
          <t>2 ảnh — mở thư mục</t>
        </is>
      </c>
    </row>
    <row r="27" ht="181.5" customHeight="1" s="25">
      <c r="A27" s="31" t="n">
        <v>22</v>
      </c>
      <c r="B27" s="37" t="n"/>
      <c r="C27" s="37" t="n"/>
      <c r="D27" s="32" t="inlineStr">
        <is>
          <t>Grandfather — thẻ 413 hiện "Unlimited", Get More vẫn hiện</t>
        </is>
      </c>
      <c r="E27" s="33" t="inlineStr">
        <is>
          <t>1. RC (Firebase): enable_daily_quota = true · enable_topup = true · topup_offer_max_per_day = 1
2. CMS: số lượt/ngày = Q (PO cấu hình trên CMS, mặc định 20; mọi số lượt trong TC tính theo Q)
3. RC: quota_grandfather_until = 2026-10-25T00:00:00Z (= hôm nay + 1, ngày tương lai → app chạy cơ chế cũ) — user là subscriber, chu kỳ bắt đầu hôm nay (trước mốc) → grandfather
4. Có kết nối internet ổn định</t>
        </is>
      </c>
      <c r="F27" s="33" t="inlineStr">
        <is>
          <t>N/A</t>
        </is>
      </c>
      <c r="G27" s="33" t="inlineStr">
        <is>
          <t>1. Vào Setting → My Balance</t>
        </is>
      </c>
      <c r="H27" s="33" t="inlineStr">
        <is>
          <t>1. Thẻ hiển thị "Unlimited" thay cho con số
2. Nút "Get More" vẫn hiển thị</t>
        </is>
      </c>
      <c r="I27" s="38" t="inlineStr">
        <is>
          <t>FAIL</t>
        </is>
      </c>
      <c r="J27" s="35" t="inlineStr">
        <is>
          <t>KQ: 413: 'Unlimited'=false · Get More=false · chữ: Setting không có hàng My Balance=true · RC=2026-10-26T00:00:00Z · tier=unlimitedV1 · isUnlimitedGen=true · latestPurchase=2026-10-25 11:13:44</t>
        </is>
      </c>
      <c r="K27" s="35" t="inlineStr">
        <is>
          <t>Autotest vòng 2 24/10 · lượt r2fin-test04_grandfatherState-112203 · CHẤM TAY: Grandfather (tier=unlimitedV1): Setting KHÔNG có hàng My Balance (SettingsView.swift:84 ẩn cố ý với user gen v1) → không có 413 'Unlimited' + Get More như Expected. Có thể là lệch spec có chủ đích của dev — hỏi PO.</t>
        </is>
      </c>
      <c r="L27" s="36" t="inlineStr">
        <is>
          <t>1 ảnh — mở thư mục</t>
        </is>
      </c>
    </row>
    <row r="28" ht="234" customHeight="1" s="25">
      <c r="A28" s="31" t="n">
        <v>23</v>
      </c>
      <c r="B28" s="37" t="n"/>
      <c r="C28" s="37" t="n"/>
      <c r="D28" s="32" t="inlineStr">
        <is>
          <t>Get More từ 413 (lối Setting) → màn topup mã 227, entry_point = my_balance</t>
        </is>
      </c>
      <c r="E28"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subscriber (tài khoản sandbox mua sub mới, chu kỳ bắt đầu hôm nay 2026-10-24)
5. Có kết nối internet ổn định
6. Bật debug log RevenueCat/Analytics</t>
        </is>
      </c>
      <c r="F28" s="33" t="inlineStr">
        <is>
          <t>N/A</t>
        </is>
      </c>
      <c r="G28" s="33" t="inlineStr">
        <is>
          <t>1. Setting → My Balance → tap Get More</t>
        </is>
      </c>
      <c r="H28" s="33" t="inlineStr">
        <is>
          <t>1. Mở màn topup offering 216_0.99 với paywall code 227 (setting)
2. Param entry_point = my_balance</t>
        </is>
      </c>
      <c r="I28" s="34" t="inlineStr">
        <is>
          <t>PASS</t>
        </is>
      </c>
      <c r="J28" s="35" t="inlineStr">
        <is>
          <t>Setting → My Balance → Get More → màn native 'Top-up creations' (topup_pw_view{entry_point=my_balance, package_count=1}). Mã paywall 227: màn native không gửi mã/placement trong event — gói lấy từ placement credit (offering 216_0.99).</t>
        </is>
      </c>
      <c r="K28" s="35" t="inlineStr">
        <is>
          <t>KQ autotest 22/10 (TC cũ #23, lượt buy-rerun005-162915)</t>
        </is>
      </c>
      <c r="L28" s="36" t="inlineStr">
        <is>
          <t>2 ảnh — mở thư mục</t>
        </is>
      </c>
    </row>
    <row r="29" ht="298.5" customHeight="1" s="25">
      <c r="A29" s="31" t="n">
        <v>24</v>
      </c>
      <c r="B29" s="37" t="n"/>
      <c r="C29" s="37" t="n"/>
      <c r="D29" s="32" t="inlineStr">
        <is>
          <t>Get More từ 413 (lối badge) → entry_point = home_badge</t>
        </is>
      </c>
      <c r="E29"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subscriber (tài khoản sandbox mua sub mới, chu kỳ bắt đầu hôm nay 2026-10-24)
5. Bắt đầu sau mốc reset 07:00 giờ VN, chưa gen lần nào trong ngày, không còn topup dư (quota = Q, topup = 0)
6. Xác nhận trước khi test: 413 hiển thị "Q"
7. Có kết nối internet ổn định
8. Bật debug log</t>
        </is>
      </c>
      <c r="F29" s="33" t="inlineStr">
        <is>
          <t>Ví ban đầu: quota = Q · topup = 0</t>
        </is>
      </c>
      <c r="G29" s="33" t="inlineStr">
        <is>
          <t>1. Home → tap badge → 413 → tap Get More</t>
        </is>
      </c>
      <c r="H29" s="33" t="inlineStr">
        <is>
          <t>1. Mở màn topup mã 227
2. Param entry_point = home_badge</t>
        </is>
      </c>
      <c r="I29" s="38" t="inlineStr">
        <is>
          <t>FAIL</t>
        </is>
      </c>
      <c r="J29" s="35" t="inlineStr">
        <is>
          <t>Home → tap badge → 413 (quota_balance_view source=home) → Get More → màn 'Top-up creations' (đúng màn). Event topup_pw_view entry_point='my_balance' — spec 'home_badge'.</t>
        </is>
      </c>
      <c r="K29" s="35" t="inlineStr">
        <is>
          <t>KQ autotest 22/10 (TC cũ #24, lượt sub-test08_quota5-172226)</t>
        </is>
      </c>
      <c r="L29" s="36" t="inlineStr">
        <is>
          <t>1 ảnh — mở thư mục</t>
        </is>
      </c>
    </row>
    <row r="30" ht="312" customHeight="1" s="25">
      <c r="A30" s="31" t="n">
        <v>25</v>
      </c>
      <c r="B30" s="37" t="n"/>
      <c r="C30" s="37" t="n"/>
      <c r="D30" s="32" t="inlineStr">
        <is>
          <t>Vào 413 luôn refresh số dư mới nhất</t>
        </is>
      </c>
      <c r="E30"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subscriber (tài khoản sandbox mua sub mới, chu kỳ bắt đầu hôm nay 2026-10-24)
5. Máy A và máy B cùng tài khoản Apple đã đăng nhập trong app
6. Bắt đầu sau mốc reset 07:00 giờ VN, chưa gen lần nào trong ngày, không còn topup dư (quota = Q, topup = 0)
7. Xác nhận trước khi test: 413 hiển thị "Q"
8. Máy A đang mở ở Home</t>
        </is>
      </c>
      <c r="F30" s="33" t="inlineStr">
        <is>
          <t>Ví ban đầu: quota = Q · topup = 0</t>
        </is>
      </c>
      <c r="G30" s="33" t="inlineStr">
        <is>
          <t>1. Trên máy B gen thành công 3 lần (không thao tác máy A)
2. Trên máy A vào Setting → My Balance</t>
        </is>
      </c>
      <c r="H30" s="33" t="inlineStr">
        <is>
          <t>1. Thẻ trên máy A hiển thị "Q − 3" (yêu cầu Q ≥ 4) (gọi get_info khi vào 413)</t>
        </is>
      </c>
      <c r="I30" s="41" t="inlineStr">
        <is>
          <t>Chờ</t>
        </is>
      </c>
      <c r="J30" s="35" t="inlineStr"/>
      <c r="K30" s="35" t="inlineStr">
        <is>
          <t>Chờ tài nguyên: cần máy A + máy B cùng Apple ID</t>
        </is>
      </c>
    </row>
    <row r="31" ht="285.75" customHeight="1" s="25">
      <c r="A31" s="31" t="n">
        <v>26</v>
      </c>
      <c r="B31" s="37" t="n"/>
      <c r="C31" s="39" t="n"/>
      <c r="D31" s="32" t="inlineStr">
        <is>
          <t>Back từ màn topup (vào từ 413) → về 413, số không đổi</t>
        </is>
      </c>
      <c r="E31"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subscriber (tài khoản sandbox mua sub mới, chu kỳ bắt đầu hôm nay 2026-10-24)
5. Bắt đầu sau mốc reset 07:00 giờ VN, chưa gen lần nào trong ngày, không còn topup dư (quota = Q, topup = 0)
6. Xác nhận trước khi test: 413 hiển thị "Q"
7. Đang ở màn topup mở từ 413</t>
        </is>
      </c>
      <c r="F31" s="33" t="inlineStr">
        <is>
          <t>Ví ban đầu: quota = Q · topup = 0</t>
        </is>
      </c>
      <c r="G31" s="33" t="inlineStr">
        <is>
          <t>1. Bấm back không mua</t>
        </is>
      </c>
      <c r="H31" s="33" t="inlineStr">
        <is>
          <t>1. Quay về 413 (không về Home)
2. Thẻ vẫn hiển thị "Q"</t>
        </is>
      </c>
      <c r="I31" s="34" t="inlineStr">
        <is>
          <t>PASS</t>
        </is>
      </c>
      <c r="J31" s="35" t="inlineStr">
        <is>
          <t>back → 413=true · thẻ 10 (quota 10)</t>
        </is>
      </c>
      <c r="K31" s="35" t="inlineStr">
        <is>
          <t>KQ autotest 22/10 (TC cũ #26, lượt sub-test07_quota10-170639)</t>
        </is>
      </c>
      <c r="L31" s="36" t="inlineStr">
        <is>
          <t>1 ảnh — mở thư mục</t>
        </is>
      </c>
    </row>
    <row r="32" ht="195" customHeight="1" s="25">
      <c r="A32" s="31" t="n">
        <v>27</v>
      </c>
      <c r="B32" s="37" t="n"/>
      <c r="C32" s="31" t="inlineStr">
        <is>
          <t>Edge Case</t>
        </is>
      </c>
      <c r="D32" s="32" t="inlineStr">
        <is>
          <t>Vào 413 khi offline</t>
        </is>
      </c>
      <c r="E32"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subscriber (tài khoản sandbox mua sub mới, chu kỳ bắt đầu hôm nay 2026-10-24)
5. Bật Airplane Mode</t>
        </is>
      </c>
      <c r="F32" s="33" t="inlineStr">
        <is>
          <t>N/A</t>
        </is>
      </c>
      <c r="G32" s="33" t="inlineStr">
        <is>
          <t>1. Setting → My Balance</t>
        </is>
      </c>
      <c r="H32" s="33" t="inlineStr">
        <is>
          <t xml:space="preserve">1. hiện số cache, placeholder </t>
        </is>
      </c>
      <c r="I32" s="38" t="inlineStr">
        <is>
          <t>FAIL</t>
        </is>
      </c>
      <c r="J32" s="35" t="inlineStr">
        <is>
          <t>413 offline (Airplane Mode, mở lại app): thẻ hiện '0' trong khi số dư thật 9 — số 0 giả, không có thông báo cần mạng. Get More vẫn hiện.</t>
        </is>
      </c>
      <c r="K32" s="35" t="inlineStr">
        <is>
          <t>KQ autotest 22/10 (TC cũ #27, lượt sub-test07_quota10-170639) · chấm lại theo Expected mới: Expected mới: số cache/placeholder. Thực tế thẻ hiện "0" giả trong khi số dư thật 9.</t>
        </is>
      </c>
      <c r="L32" s="36" t="inlineStr">
        <is>
          <t>1 ảnh — mở thư mục</t>
        </is>
      </c>
    </row>
    <row r="33" ht="234" customHeight="1" s="25">
      <c r="A33" s="31" t="n">
        <v>28</v>
      </c>
      <c r="B33" s="39" t="n"/>
      <c r="C33" s="39" t="n"/>
      <c r="D33" s="32" t="inlineStr">
        <is>
          <t>get_info trả lỗi 5xx khi vào 413</t>
        </is>
      </c>
      <c r="E33"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subscriber (tài khoản sandbox mua sub mới, chu kỳ bắt đầu hôm nay 2026-10-24)
5. Có kết nối internet ổn định
6. Proxy mock get_info trả HTTP 500</t>
        </is>
      </c>
      <c r="F33" s="33" t="inlineStr">
        <is>
          <t>N/A</t>
        </is>
      </c>
      <c r="G33" s="33" t="inlineStr">
        <is>
          <t>1. Setting → My Balance</t>
        </is>
      </c>
      <c r="H33" s="33" t="inlineStr">
        <is>
          <t>1. Thẻ không hiển thị số sai (không hiện 0 giả)</t>
        </is>
      </c>
      <c r="I33" s="41" t="inlineStr">
        <is>
          <t>Chờ</t>
        </is>
      </c>
      <c r="J33" s="35" t="inlineStr"/>
      <c r="K33" s="35" t="inlineStr">
        <is>
          <t>Chờ BE/Infra: cần giả lập phía server (vendor lỗi/timeout, webhook, gọi API trực tiếp, proxy) — theo luật không tự giả lỗi server</t>
        </is>
      </c>
    </row>
    <row r="34" ht="15.75" customHeight="1" s="25">
      <c r="A34" s="30" t="inlineStr">
        <is>
          <t>▌ 4. Trừ lượt khi Gen (AC1)</t>
        </is>
      </c>
    </row>
    <row r="35" ht="207.75" customHeight="1" s="25">
      <c r="A35" s="31" t="n">
        <v>29</v>
      </c>
      <c r="B35" s="31" t="inlineStr">
        <is>
          <t>Trừ lượt khi Gen (AC1)</t>
        </is>
      </c>
      <c r="C35" s="32" t="inlineStr">
        <is>
          <t>UI</t>
        </is>
      </c>
      <c r="D35" s="32" t="inlineStr">
        <is>
          <t>Màn Upload các feature không còn nhãn Estimate chi phí</t>
        </is>
      </c>
      <c r="E35"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subscriber (tài khoản sandbox mua sub mới, chu kỳ bắt đầu hôm nay 2026-10-24)
5. Có kết nối internet ổn định</t>
        </is>
      </c>
      <c r="F35" s="33" t="inlineStr">
        <is>
          <t>Lặp cho: enhance
i2i
i2v
restore
remove_object
motion
seedance
tryon
looks
video</t>
        </is>
      </c>
      <c r="G35" s="33" t="inlineStr">
        <is>
          <t>1. Lần lượt mở màn Upload của từng feature trong Test data</t>
        </is>
      </c>
      <c r="H35" s="33" t="inlineStr">
        <is>
          <t>1. Không hiển thị nhãn Estimate / chi phí lượt / số credit trên màn Upload</t>
        </is>
      </c>
      <c r="I35" s="34" t="inlineStr">
        <is>
          <t>PASS</t>
        </is>
      </c>
      <c r="J35" s="35" t="inlineStr">
        <is>
          <t>i2i: sạch · Remove Object: sạch [Remove Object · Tap to upload photo · Supports JPG, PNG up to 10MB · or choose from · Camera] · Restore: sạch [Restore Photo · Tap to upload photo · Supports JPG, PNG up to 10MB · or choose from · Camera] · Enhance Photo: sạch [Enhance Photo · Tap to upload photo · Supports JPG, PNG up to 10MB · or choose from · Camera] (i2v/motion/seedance/tryon/looks/video: phase sau) · chạy với free user</t>
        </is>
      </c>
      <c r="K35" s="35" t="inlineStr">
        <is>
          <t>KQ autotest 22/10 (TC cũ #29, lượt free-rerun029-154311)</t>
        </is>
      </c>
      <c r="L35" s="36" t="inlineStr">
        <is>
          <t>6 ảnh — mở thư mục</t>
        </is>
      </c>
    </row>
    <row r="36" ht="376.5" customHeight="1" s="25">
      <c r="A36" s="31" t="n">
        <v>30</v>
      </c>
      <c r="B36" s="37" t="n"/>
      <c r="C36" s="31" t="inlineStr">
        <is>
          <t>Logic</t>
        </is>
      </c>
      <c r="D36" s="32" t="inlineStr">
        <is>
          <t>S1 — Còn cả 2 ví: trừ topup trước, quota không đổi</t>
        </is>
      </c>
      <c r="E36"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subscriber (tài khoản sandbox mua sub mới, chu kỳ bắt đầu hôm nay 2026-10-24)
5. Bắt đầu sau mốc reset 07:00 giờ VN, chưa gen lần nào trong ngày, không còn topup dư (quota = Q, topup = 0)
6. Sau khi gen xong mới mua 2 lượt topup qua 413 → Get More (topup bị tiêu trước nên phải mua sau)
7. Xác nhận trước khi test: 413 hiển thị "Q + 2", màn topup hiển thị "2 top-up creations left"
8. Có kết nối internet ổn định
9. Đang ở màn Upload của feature i2i, đã chọn ảnh và style</t>
        </is>
      </c>
      <c r="F36" s="33" t="inlineStr">
        <is>
          <t>Ví ban đầu: quota = Q · topup = 2</t>
        </is>
      </c>
      <c r="G36" s="33" t="inlineStr">
        <is>
          <t>1. Bấm Generate
2. Chờ gen thành công
3. Vào 413</t>
        </is>
      </c>
      <c r="H36" s="33" t="inlineStr">
        <is>
          <t>1. 413 hiển thị "Q + 1"
2. Get More → màn topup hiển thị "1 top-up creations left" (tức topup = 1, quota = Q)</t>
        </is>
      </c>
      <c r="I36" s="34" t="inlineStr">
        <is>
          <t>PASS</t>
        </is>
      </c>
      <c r="J36" s="35" t="inlineStr">
        <is>
          <t>t3/q20 → gen result → t2/q20 · 413 23 → 22</t>
        </is>
      </c>
      <c r="K36" s="35" t="inlineStr">
        <is>
          <t>KQ autotest 22/10 (TC cũ #30, lượt sub-test03_genConsumesTopupFirst-164006)</t>
        </is>
      </c>
    </row>
    <row r="37" ht="312" customHeight="1" s="25">
      <c r="A37" s="31" t="n">
        <v>31</v>
      </c>
      <c r="B37" s="37" t="n"/>
      <c r="C37" s="37" t="n"/>
      <c r="D37" s="32" t="inlineStr">
        <is>
          <t>S2 — Hết topup, còn quota: trừ quota</t>
        </is>
      </c>
      <c r="E37"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subscriber (tài khoản sandbox mua sub mới, chu kỳ bắt đầu hôm nay 2026-10-24)
5. Bắt đầu sau mốc reset 07:00 giờ VN, chưa gen lần nào trong ngày, không còn topup dư (quota = Q, topup = 0)
6. Xác nhận trước khi test: 413 hiển thị "Q"
7. Có kết nối internet ổn định
8. Đang ở màn Upload của feature i2i, đã chọn ảnh và style</t>
        </is>
      </c>
      <c r="F37" s="33" t="inlineStr">
        <is>
          <t>Ví ban đầu: quota = Q · topup = 0</t>
        </is>
      </c>
      <c r="G37" s="33" t="inlineStr">
        <is>
          <t>1. Bấm Generate
2. Chờ gen thành công</t>
        </is>
      </c>
      <c r="H37" s="33" t="inlineStr">
        <is>
          <t>1. quota_balance = Q − 1, topup_balance = 0
2. Badge Home hiển thị "Q − 1"</t>
        </is>
      </c>
      <c r="I37" s="34" t="inlineStr">
        <is>
          <t>PASS</t>
        </is>
      </c>
      <c r="J37" s="35" t="inlineStr">
        <is>
          <t>gen result: quota 5 → 4, topup 0, badge 4</t>
        </is>
      </c>
      <c r="K37" s="35" t="inlineStr">
        <is>
          <t>KQ autotest 22/10 (TC cũ #31, lượt sub-test08_quota5-172226)</t>
        </is>
      </c>
      <c r="L37" s="36" t="inlineStr">
        <is>
          <t>3 ảnh — mở thư mục</t>
        </is>
      </c>
    </row>
    <row r="38" ht="399.75" customHeight="1" s="25">
      <c r="A38" s="31" t="n">
        <v>32</v>
      </c>
      <c r="B38" s="37" t="n"/>
      <c r="C38" s="37" t="n"/>
      <c r="D38" s="32" t="inlineStr">
        <is>
          <t>S3 — Hết quota, còn topup: trừ topup, không hiện 481</t>
        </is>
      </c>
      <c r="E38"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subscriber (tài khoản sandbox mua sub mới, chu kỳ bắt đầu hôm nay 2026-10-24)
5. Bắt đầu sau mốc reset 07:00 giờ VN, chưa gen lần nào trong ngày, không còn topup dư (quota = Q, topup = 0)
6. Gen thành công Q lần (dùng Enhance cho nhanh) để quota còn 0
7. Sau khi gen xong mới mua 2 lượt topup qua 413 → Get More (topup bị tiêu trước nên phải mua sau)
8. Xác nhận trước khi test: 413 hiển thị "2", màn topup hiển thị "2 top-up creations left"
9. Có kết nối internet ổn định
10. Đang ở màn Upload của feature i2i, đã chọn ảnh và style</t>
        </is>
      </c>
      <c r="F38" s="33" t="inlineStr">
        <is>
          <t>Ví ban đầu: quota = 0 · topup = 2</t>
        </is>
      </c>
      <c r="G38" s="33" t="inlineStr">
        <is>
          <t>1. Bấm Generate</t>
        </is>
      </c>
      <c r="H38" s="33" t="inlineStr">
        <is>
          <t>1. Không hiển thị dialog 481
2. Gen chạy, thành công → topup_balance = 1</t>
        </is>
      </c>
      <c r="I38" s="34" t="inlineStr">
        <is>
          <t>PASS</t>
        </is>
      </c>
      <c r="J38" s="35" t="inlineStr">
        <is>
          <t>quota 0 topup 2 bấm Generate → result (481=false) · topup → 1</t>
        </is>
      </c>
      <c r="K38" s="35" t="inlineStr">
        <is>
          <t>KQ autotest 22/10 (TC cũ #32, lượt sub-test13_pullWhenExhaustedThenGen-175557)</t>
        </is>
      </c>
    </row>
    <row r="39" ht="376.5" customHeight="1" s="25">
      <c r="A39" s="31" t="n">
        <v>33</v>
      </c>
      <c r="B39" s="37" t="n"/>
      <c r="C39" s="37" t="n"/>
      <c r="D39" s="32" t="inlineStr">
        <is>
          <t>Đầu ngày mới còn topup dư — lần gen đầu trừ topup dù quota đầy</t>
        </is>
      </c>
      <c r="E39"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subscriber (tài khoản sandbox mua sub mới, chu kỳ bắt đầu hôm nay 2026-10-24)
5. Bắt đầu sau mốc reset 07:00 giờ VN, chưa gen lần nào trong ngày, không còn topup dư (quota = Q, topup = 0)
6. Sau khi gen xong mới mua 1 lượt topup qua 413 → Get More (topup bị tiêu trước nên phải mua sau)
7. Xác nhận trước khi test: 413 hiển thị "Q + 1", màn topup hiển thị "1 top-up creations left"
8. Có kết nối internet ổn định
9. Đang ở màn Upload của feature i2i, đã chọn ảnh và style</t>
        </is>
      </c>
      <c r="F39" s="33" t="inlineStr">
        <is>
          <t>Ví ban đầu: quota = Q · topup = 1</t>
        </is>
      </c>
      <c r="G39" s="33" t="inlineStr">
        <is>
          <t>1. Bấm Generate
2. Chờ gen thành công</t>
        </is>
      </c>
      <c r="H39" s="33" t="inlineStr">
        <is>
          <t>1. topup_balance = 0, quota_balance = Q
2. Không hiện thông báo/nhắc nào về thứ tự tiêu</t>
        </is>
      </c>
      <c r="I39" s="34" t="inlineStr">
        <is>
          <t>PASS</t>
        </is>
      </c>
      <c r="J39" s="35" t="inlineStr">
        <is>
          <t>Ví q20 + t1 → gen i2i thành công → t0 / q20 (lượt topup bị trừ trước dù quota đầy), không có câu nhắc thứ tự tiêu.</t>
        </is>
      </c>
      <c r="K39" s="35" t="inlineStr">
        <is>
          <t>KQ autotest 22/10 (TC cũ #33, lượt sub-test03_genConsumesTopupFirst-164006)</t>
        </is>
      </c>
    </row>
    <row r="40" ht="285.75" customHeight="1" s="25">
      <c r="A40" s="31" t="n">
        <v>34</v>
      </c>
      <c r="B40" s="37" t="n"/>
      <c r="C40" s="37" t="n"/>
      <c r="D40" s="32" t="inlineStr">
        <is>
          <t>Đếm phẳng — mọi feature gen thành công đều trừ đúng 1 lượt</t>
        </is>
      </c>
      <c r="E40"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subscriber (tài khoản sandbox mua sub mới, chu kỳ bắt đầu hôm nay 2026-10-24)
5. Bắt đầu sau mốc reset 07:00 giờ VN, chưa gen lần nào trong ngày, không còn topup dư (quota = Q, topup = 0)
6. Xác nhận trước khi test: 413 hiển thị "Q"
7. Có kết nối internet ổn định</t>
        </is>
      </c>
      <c r="F40" s="33" t="inlineStr">
        <is>
          <t>Ví ban đầu: quota = Q · topup = 0
Lặp cho: enhance
i2i
i2v
restore
motion
seedance
tryon
looks
video</t>
        </is>
      </c>
      <c r="G40" s="33" t="inlineStr">
        <is>
          <t>1. Mở feature theo Test data, chọn input, bấm Generate
2. Chờ gen thành công
3. Kiểm tra số dư</t>
        </is>
      </c>
      <c r="H40" s="33" t="inlineStr">
        <is>
          <t>1. Tổng số dư giảm đúng 1 cho mỗi lần gen, không phân biệt ảnh hay video</t>
        </is>
      </c>
      <c r="I40" s="34" t="inlineStr">
        <is>
          <t>PASS</t>
        </is>
      </c>
      <c r="J40" s="35" t="inlineStr">
        <is>
          <t>i2i: 20 → 19 (badge) · i2v result: → 18 (mỗi lần −1) · feature khác (enhance/restore/motion/seedance/tryon/looks/video): chưa chạy</t>
        </is>
      </c>
      <c r="K40" s="35" t="inlineStr">
        <is>
          <t>KQ autotest 22/10 (TC cũ #34, lượt sub-test04_fullQuotaHeaderAndFlatCount-164610)</t>
        </is>
      </c>
      <c r="L40" s="36" t="inlineStr">
        <is>
          <t>2 ảnh — mở thư mục</t>
        </is>
      </c>
    </row>
    <row r="41" ht="285.75" customHeight="1" s="25">
      <c r="A41" s="31" t="n">
        <v>35</v>
      </c>
      <c r="B41" s="37" t="n"/>
      <c r="C41" s="37" t="n"/>
      <c r="D41" s="32" t="inlineStr">
        <is>
          <t>Remove Object (chạy on-device) vẫn tính 1 lượt</t>
        </is>
      </c>
      <c r="E41"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subscriber (tài khoản sandbox mua sub mới, chu kỳ bắt đầu hôm nay 2026-10-24)
5. Bắt đầu sau mốc reset 07:00 giờ VN, chưa gen lần nào trong ngày, không còn topup dư (quota = Q, topup = 0)
6. Xác nhận trước khi test: 413 hiển thị "Q"
7. Có kết nối internet ổn định</t>
        </is>
      </c>
      <c r="F41" s="33" t="inlineStr">
        <is>
          <t>Ví ban đầu: quota = Q · topup = 0</t>
        </is>
      </c>
      <c r="G41" s="33" t="inlineStr">
        <is>
          <t>1. Mở Remove Object, chọn ảnh, bấm tạo
2. Chờ kết quả</t>
        </is>
      </c>
      <c r="H41" s="33" t="inlineStr">
        <is>
          <t>1. quota_balance = Q − 1</t>
        </is>
      </c>
      <c r="I41" s="34" t="inlineStr">
        <is>
          <t>PASS</t>
        </is>
      </c>
      <c r="J41" s="35" t="inlineStr">
        <is>
          <t>KQ: Remove Object: tạo xong=true (bấm ["Next", "Remove"]) · 413 16 → 15 (spec −1 lượt)</t>
        </is>
      </c>
      <c r="K41" s="35" t="inlineStr">
        <is>
          <t>Autotest vòng 2 24/10 · lượt r2fin-deduct-removeobject-rerun-111738</t>
        </is>
      </c>
    </row>
    <row r="42" ht="259.5" customHeight="1" s="25">
      <c r="A42" s="31" t="n">
        <v>36</v>
      </c>
      <c r="B42" s="37" t="n"/>
      <c r="C42" s="37" t="n"/>
      <c r="D42" s="32" t="inlineStr">
        <is>
          <t>Request gen gửi App User ID, không gửi số dư</t>
        </is>
      </c>
      <c r="E42"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subscriber (tài khoản sandbox mua sub mới, chu kỳ bắt đầu hôm nay 2026-10-24)
5. Có kết nối internet ổn định
6. Bắt traffic qua Proxyman/Charles
7. Đang ở màn Upload của feature i2i, đã chọn ảnh và style</t>
        </is>
      </c>
      <c r="F42" s="33" t="inlineStr">
        <is>
          <t>N/A</t>
        </is>
      </c>
      <c r="G42" s="33" t="inlineStr">
        <is>
          <t>1. Bấm Generate
2. Xem request gen trên proxy</t>
        </is>
      </c>
      <c r="H42" s="33" t="inlineStr">
        <is>
          <t>1. Request chứa App User ID = UUID đang dùng làm App User ID trên RevenueCat
2. Request không chứa field số dư (quota/topup/balance)</t>
        </is>
      </c>
      <c r="I42" s="41" t="inlineStr">
        <is>
          <t>Chờ</t>
        </is>
      </c>
      <c r="J42" s="35" t="inlineStr"/>
      <c r="K42" s="35" t="inlineStr">
        <is>
          <t>Chờ BE/Infra: cần giả lập phía server (vendor lỗi/timeout, webhook, gọi API trực tiếp, proxy) — theo luật không tự giả lỗi server</t>
        </is>
      </c>
    </row>
    <row r="43" ht="351" customHeight="1" s="25">
      <c r="A43" s="31" t="n">
        <v>37</v>
      </c>
      <c r="B43" s="37" t="n"/>
      <c r="C43" s="37" t="n"/>
      <c r="D43" s="32" t="inlineStr">
        <is>
          <t>Trong lúc gen (HOLD) số dư khả dụng giảm 1</t>
        </is>
      </c>
      <c r="E43"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subscriber (tài khoản sandbox mua sub mới, chu kỳ bắt đầu hôm nay 2026-10-24)
5. Máy A và máy B cùng tài khoản Apple đã đăng nhập trong app
6. Bắt đầu sau mốc reset 07:00 giờ VN, chưa gen lần nào trong ngày, không còn topup dư (quota = Q, topup = 0)
7. Xác nhận trước khi test: 413 hiển thị "Q"
8. Có kết nối internet ổn định
9. Đang ở màn Upload của feature i2i, đã chọn ảnh và style</t>
        </is>
      </c>
      <c r="F43" s="33" t="inlineStr">
        <is>
          <t>Ví ban đầu: quota = Q · topup = 0</t>
        </is>
      </c>
      <c r="G43" s="33" t="inlineStr">
        <is>
          <t>1. Trên máy A bấm Generate (feature video để gen lâu)
2. Trong lúc máy A đang Generating, mở 413 trên máy B</t>
        </is>
      </c>
      <c r="H43" s="33" t="inlineStr">
        <is>
          <t>1. Máy B hiển thị "Q − 1" trong khi máy A có kết quả</t>
        </is>
      </c>
      <c r="I43" s="41" t="inlineStr">
        <is>
          <t>Chờ</t>
        </is>
      </c>
      <c r="J43" s="35" t="inlineStr"/>
      <c r="K43" s="35" t="inlineStr">
        <is>
          <t>Chờ tài nguyên: cần máy A + máy B cùng Apple ID</t>
        </is>
      </c>
    </row>
    <row r="44" ht="195" customHeight="1" s="25">
      <c r="A44" s="31" t="n">
        <v>38</v>
      </c>
      <c r="B44" s="37" t="n"/>
      <c r="C44" s="37" t="n"/>
      <c r="D44" s="32" t="inlineStr">
        <is>
          <t>S11 — Dialog thoát Generating giữ nguyên copy 2.5.0</t>
        </is>
      </c>
      <c r="E44"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subscriber (tài khoản sandbox mua sub mới, chu kỳ bắt đầu hôm nay 2026-10-24)
5. Đang ở màn Generating</t>
        </is>
      </c>
      <c r="F44" s="33" t="inlineStr">
        <is>
          <t>N/A</t>
        </is>
      </c>
      <c r="G44" s="33" t="inlineStr">
        <is>
          <t>1. Bấm back
2. Quan sát dialog thoát</t>
        </is>
      </c>
      <c r="H44" s="33" t="inlineStr">
        <is>
          <t>1. Dialog có 2 nút "Keep Waiting" / "Leave Anyway" đúng copy 2.5.0
2. Không có câu cảnh báo nào về việc lượt bị tính</t>
        </is>
      </c>
      <c r="I44" s="42" t="inlineStr">
        <is>
          <t>Lệch spec</t>
        </is>
      </c>
      <c r="J44" s="35" t="inlineStr">
        <is>
          <t>bấm back ở Generating: dialog Keep Waiting=false / Leave Anyway=false · màn: For You · Trending · New · Motion · Spotlight Photoshoot · Genius · 9 · Creating your masterpiece… (2.9.0 đổi sang chạy nền khi rời màn)</t>
        </is>
      </c>
      <c r="K44" s="35" t="inlineStr">
        <is>
          <t>KQ autotest 22/10 (TC cũ #38, lượt sub-test07_quota10-170639)</t>
        </is>
      </c>
      <c r="L44" s="36" t="inlineStr">
        <is>
          <t>1 ảnh — mở thư mục</t>
        </is>
      </c>
    </row>
    <row r="45" ht="298.5" customHeight="1" s="25">
      <c r="A45" s="31" t="n">
        <v>39</v>
      </c>
      <c r="B45" s="37" t="n"/>
      <c r="C45" s="37" t="n"/>
      <c r="D45" s="32" t="inlineStr">
        <is>
          <t>S11 — Leave Anyway: COMMIT ngay, lượt bị trừ, không toast 483</t>
        </is>
      </c>
      <c r="E45"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subscriber (tài khoản sandbox mua sub mới, chu kỳ bắt đầu hôm nay 2026-10-24)
5. Bắt đầu sau mốc reset 07:00 giờ VN, chưa gen lần nào trong ngày, không còn topup dư (quota = Q, topup = 0)
6. Xác nhận trước khi test: 413 hiển thị "Q"
7. Có kết nối internet ổn định
8. Đang ở màn Generating</t>
        </is>
      </c>
      <c r="F45" s="33" t="inlineStr">
        <is>
          <t>Ví ban đầu: quota = Q · topup = 0</t>
        </is>
      </c>
      <c r="G45" s="33" t="inlineStr">
        <is>
          <t>1. Bấm back → chọn "Leave Anyway"
2. Vào 413</t>
        </is>
      </c>
      <c r="H45" s="33" t="inlineStr">
        <is>
          <t>1. App gọi BE báo huỷ kèm run_id (kiểm qua proxy)
2. 413 hiển thị "Q − 1"
3. Không hiển thị toast 483</t>
        </is>
      </c>
      <c r="I45" s="42" t="inlineStr">
        <is>
          <t>Lệch spec</t>
        </is>
      </c>
      <c r="J45" s="35" t="inlineStr">
        <is>
          <t>Bấm back ở màn Generating (video, quota 10): không có dialog Keep Waiting / Leave Anyway — app về Home, lượt gen chạy nền ('Creating your masterpiece…' trên khay), 413 10 → 9 (trừ 1 lần). Không có lựa chọn 'Leave Anyway' để kiểm COMMIT/huỷ.</t>
        </is>
      </c>
      <c r="K45" s="35" t="inlineStr">
        <is>
          <t>KQ autotest 22/10 (TC cũ #39, lượt sub-test07_quota10-170639)</t>
        </is>
      </c>
      <c r="L45" s="36" t="inlineStr">
        <is>
          <t>3 ảnh — mở thư mục</t>
        </is>
      </c>
    </row>
    <row r="46" ht="298.5" customHeight="1" s="25">
      <c r="A46" s="31" t="n">
        <v>40</v>
      </c>
      <c r="B46" s="37" t="n"/>
      <c r="C46" s="37" t="n"/>
      <c r="D46" s="32" t="inlineStr">
        <is>
          <t>S11 — Leave Anyway rồi vendor trả thành công: không trừ thêm</t>
        </is>
      </c>
      <c r="E46"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subscriber (tài khoản sandbox mua sub mới, chu kỳ bắt đầu hôm nay 2026-10-24)
5. Bắt đầu sau mốc reset 07:00 giờ VN, chưa gen lần nào trong ngày, không còn topup dư (quota = Q, topup = 0)
6. Xác nhận trước khi test: 413 hiển thị "Q"
7. Có kết nối internet ổn định
8. Đang ở màn Generating</t>
        </is>
      </c>
      <c r="F46" s="33" t="inlineStr">
        <is>
          <t>Ví ban đầu: quota = Q · topup = 0</t>
        </is>
      </c>
      <c r="G46" s="33" t="inlineStr">
        <is>
          <t>1. Chọn "Leave Anyway"
2. Chờ vendor trả kết quả thành công
3. Kiểm tra số dư</t>
        </is>
      </c>
      <c r="H46" s="33" t="inlineStr">
        <is>
          <t>1. quota_balance = Q − 1 (chỉ trừ 1 lần)</t>
        </is>
      </c>
      <c r="I46" s="42" t="inlineStr">
        <is>
          <t>Lệch spec</t>
        </is>
      </c>
      <c r="J46" s="35" t="inlineStr">
        <is>
          <t>Bấm back ở màn Generating (video, quota 10): không có dialog Keep Waiting / Leave Anyway — app về Home, lượt gen chạy nền ('Creating your masterpiece…' trên khay), 413 10 → 9 (trừ 1 lần). Không có lựa chọn 'Leave Anyway' để kiểm COMMIT/huỷ.</t>
        </is>
      </c>
      <c r="K46" s="35" t="inlineStr">
        <is>
          <t>KQ autotest 22/10 (TC cũ #40, lượt sub-test07_quota10-170639)</t>
        </is>
      </c>
      <c r="L46" s="36" t="inlineStr">
        <is>
          <t>3 ảnh — mở thư mục</t>
        </is>
      </c>
    </row>
    <row r="47" ht="298.5" customHeight="1" s="25">
      <c r="A47" s="31" t="n">
        <v>41</v>
      </c>
      <c r="B47" s="37" t="n"/>
      <c r="C47" s="39" t="n"/>
      <c r="D47" s="32" t="inlineStr">
        <is>
          <t>S12 — Keep Waiting: ở lại, job chạy tiếp, chỉ trừ 1 lượt</t>
        </is>
      </c>
      <c r="E47"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subscriber (tài khoản sandbox mua sub mới, chu kỳ bắt đầu hôm nay 2026-10-24)
5. Bắt đầu sau mốc reset 07:00 giờ VN, chưa gen lần nào trong ngày, không còn topup dư (quota = Q, topup = 0)
6. Xác nhận trước khi test: 413 hiển thị "Q"
7. Có kết nối internet ổn định
8. Đang ở màn Generating</t>
        </is>
      </c>
      <c r="F47" s="33" t="inlineStr">
        <is>
          <t>Ví ban đầu: quota = Q · topup = 0</t>
        </is>
      </c>
      <c r="G47" s="33" t="inlineStr">
        <is>
          <t>1. Bấm back → chọn "Keep Waiting"
2. Chờ gen thành công</t>
        </is>
      </c>
      <c r="H47" s="33" t="inlineStr">
        <is>
          <t>1. Dialog đóng, vẫn ở màn Generating
2. Hiển thị kết quả
3. quota_balance = Q − 1</t>
        </is>
      </c>
      <c r="I47" s="43" t="inlineStr">
        <is>
          <t>Cần xem</t>
        </is>
      </c>
      <c r="J47" s="35" t="inlineStr">
        <is>
          <t>rời màn Generating (không có Keep Waiting) → video chạy nền · 413 10 → 9 (chỉ trừ 1)</t>
        </is>
      </c>
      <c r="K47" s="35" t="inlineStr">
        <is>
          <t>KQ autotest 22/10 (TC cũ #41, lượt sub-test07_quota10-170639)</t>
        </is>
      </c>
      <c r="L47" s="36" t="inlineStr">
        <is>
          <t>3 ảnh — mở thư mục</t>
        </is>
      </c>
    </row>
    <row r="48" ht="312" customHeight="1" s="25">
      <c r="A48" s="31" t="n">
        <v>42</v>
      </c>
      <c r="B48" s="37" t="n"/>
      <c r="C48" s="31" t="inlineStr">
        <is>
          <t>Edge Case</t>
        </is>
      </c>
      <c r="D48" s="32" t="inlineStr">
        <is>
          <t>S11 — Leave Anyway rồi vendor trả fail: KHÔNG hoàn lượt  [Cần BE hỗ trợ]</t>
        </is>
      </c>
      <c r="E48"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subscriber (tài khoản sandbox mua sub mới, chu kỳ bắt đầu hôm nay 2026-10-24)
5. Bắt đầu sau mốc reset 07:00 giờ VN, chưa gen lần nào trong ngày, không còn topup dư (quota = Q, topup = 0)
6. Xác nhận trước khi test: 413 hiển thị "Q"
7. Có kết nối internet ổn định
8. [Cần BE/Infra giả lập] Đang ở màn Generating, mock vendor trả fail</t>
        </is>
      </c>
      <c r="F48" s="33" t="inlineStr">
        <is>
          <t>Ví ban đầu: quota = Q · topup = 0</t>
        </is>
      </c>
      <c r="G48" s="33" t="inlineStr">
        <is>
          <t>1. Chọn "Leave Anyway"
2. Chờ vendor trả fail
3. Kiểm tra số dư + màn hình</t>
        </is>
      </c>
      <c r="H48" s="33" t="inlineStr">
        <is>
          <t>1. quota_balance = Q − 1 (không cộng lại)
2. Không hiển thị toast 483
3. BE ghi log CANCELLED_VENDOR_FAIL</t>
        </is>
      </c>
      <c r="I48" s="41" t="inlineStr">
        <is>
          <t>Chờ</t>
        </is>
      </c>
      <c r="J48" s="35" t="inlineStr"/>
      <c r="K48" s="35" t="inlineStr">
        <is>
          <t>Chờ BE/Infra: cần giả lập phía server (vendor lỗi/timeout, webhook, gọi API trực tiếp, proxy) — theo luật không tự giả lỗi server</t>
        </is>
      </c>
    </row>
    <row r="49" ht="399.75" customHeight="1" s="25">
      <c r="A49" s="31" t="n">
        <v>43</v>
      </c>
      <c r="B49" s="37" t="n"/>
      <c r="C49" s="37" t="n"/>
      <c r="D49" s="32" t="inlineStr">
        <is>
          <t>S5 — Gen fail do service lỗi: hoàn về ví topup đã khoá  [Cần BE hỗ trợ]</t>
        </is>
      </c>
      <c r="E49"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subscriber (tài khoản sandbox mua sub mới, chu kỳ bắt đầu hôm nay 2026-10-24)
5. Bắt đầu sau mốc reset 07:00 giờ VN, chưa gen lần nào trong ngày, không còn topup dư (quota = Q, topup = 0)
6. Sau khi gen xong mới mua 1 lượt topup qua 413 → Get More (topup bị tiêu trước nên phải mua sau)
7. Xác nhận trước khi test: 413 hiển thị "Q + 1", màn topup hiển thị "1 top-up creations left"
8. Có kết nối internet ổn định
9. Đang ở màn Upload của feature i2i, đã chọn ảnh và style
10. [Cần BE/Infra giả lập] Mock vendor trả lỗi service</t>
        </is>
      </c>
      <c r="F49" s="33" t="inlineStr">
        <is>
          <t>Ví ban đầu: quota = Q · topup = 1</t>
        </is>
      </c>
      <c r="G49" s="33" t="inlineStr">
        <is>
          <t>1. Bấm Generate
2. Chờ kết quả fail</t>
        </is>
      </c>
      <c r="H49" s="33" t="inlineStr">
        <is>
          <t>1. Toast 483: "Tạo không thành công. Lượt của bạn đã được hoàn lại."
2. topup_balance = 1, quota_balance = Q (hoàn đúng ví topup)</t>
        </is>
      </c>
      <c r="I49" s="41" t="inlineStr">
        <is>
          <t>Chờ</t>
        </is>
      </c>
      <c r="J49" s="35" t="inlineStr"/>
      <c r="K49" s="35" t="inlineStr">
        <is>
          <t>Chờ BE/Infra: cần giả lập phía server (vendor lỗi/timeout, webhook, gọi API trực tiếp, proxy) — theo luật không tự giả lỗi server</t>
        </is>
      </c>
    </row>
    <row r="50" ht="351" customHeight="1" s="25">
      <c r="A50" s="31" t="n">
        <v>44</v>
      </c>
      <c r="B50" s="37" t="n"/>
      <c r="C50" s="37" t="n"/>
      <c r="D50" s="32" t="inlineStr">
        <is>
          <t>S5 — Gen fail do service lỗi: hoàn về ví quota đã khoá  [Cần BE hỗ trợ]</t>
        </is>
      </c>
      <c r="E50"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subscriber (tài khoản sandbox mua sub mới, chu kỳ bắt đầu hôm nay 2026-10-24)
5. Bắt đầu sau mốc reset 07:00 giờ VN, chưa gen lần nào trong ngày, không còn topup dư (quota = Q, topup = 0)
6. Xác nhận trước khi test: 413 hiển thị "Q"
7. Có kết nối internet ổn định
8. Đang ở màn Upload của feature i2i, đã chọn ảnh và style
9. [Cần BE/Infra giả lập] Mock vendor trả lỗi service</t>
        </is>
      </c>
      <c r="F50" s="33" t="inlineStr">
        <is>
          <t>Ví ban đầu: quota = Q · topup = 0</t>
        </is>
      </c>
      <c r="G50" s="33" t="inlineStr">
        <is>
          <t>1. Bấm Generate
2. Chờ kết quả fail</t>
        </is>
      </c>
      <c r="H50" s="33" t="inlineStr">
        <is>
          <t>1. Toast 483 hiển thị đúng copy
2. quota_balance = Q, topup_balance = 0</t>
        </is>
      </c>
      <c r="I50" s="41" t="inlineStr">
        <is>
          <t>Chờ</t>
        </is>
      </c>
      <c r="J50" s="35" t="inlineStr"/>
      <c r="K50" s="35" t="inlineStr">
        <is>
          <t>Chờ BE/Infra: cần giả lập phía server (vendor lỗi/timeout, webhook, gọi API trực tiếp, proxy) — theo luật không tự giả lỗi server</t>
        </is>
      </c>
    </row>
    <row r="51" ht="312" customHeight="1" s="25">
      <c r="A51" s="31" t="n">
        <v>45</v>
      </c>
      <c r="B51" s="37" t="n"/>
      <c r="C51" s="37" t="n"/>
      <c r="D51" s="32" t="inlineStr">
        <is>
          <t>Gen fail do NSFW: hoàn lượt</t>
        </is>
      </c>
      <c r="E51"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subscriber (tài khoản sandbox mua sub mới, chu kỳ bắt đầu hôm nay 2026-10-24)
5. Bắt đầu sau mốc reset 07:00 giờ VN, chưa gen lần nào trong ngày, không còn topup dư (quota = Q, topup = 0)
6. Xác nhận trước khi test: 413 hiển thị "Q"
7. Có kết nối internet ổn định
8. Chọn ảnh đầu vào bị vendor chặn NSFW</t>
        </is>
      </c>
      <c r="F51" s="33" t="inlineStr">
        <is>
          <t>Ví ban đầu: quota = Q · topup = 0</t>
        </is>
      </c>
      <c r="G51" s="33" t="inlineStr">
        <is>
          <t>1. Bấm Generate
2. Chờ kết quả</t>
        </is>
      </c>
      <c r="H51" s="33" t="inlineStr">
        <is>
          <t>1. Toast 483 hiển thị đúng copy
2. quota_balance = Q</t>
        </is>
      </c>
      <c r="I51" s="41" t="inlineStr">
        <is>
          <t>Chờ</t>
        </is>
      </c>
      <c r="J51" s="35" t="inlineStr"/>
      <c r="K51" s="35" t="inlineStr">
        <is>
          <t>Chờ tài nguyên: cần ảnh mẫu bị chặn NSFW do team cung cấp (không tự tạo nội dung NSFW)</t>
        </is>
      </c>
    </row>
    <row r="52" ht="351" customHeight="1" s="25">
      <c r="A52" s="31" t="n">
        <v>46</v>
      </c>
      <c r="B52" s="37" t="n"/>
      <c r="C52" s="37" t="n"/>
      <c r="D52" s="32" t="inlineStr">
        <is>
          <t>Gen fail do timeout vendor: hoàn lượt  [Cần BE hỗ trợ]</t>
        </is>
      </c>
      <c r="E52"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subscriber (tài khoản sandbox mua sub mới, chu kỳ bắt đầu hôm nay 2026-10-24)
5. Bắt đầu sau mốc reset 07:00 giờ VN, chưa gen lần nào trong ngày, không còn topup dư (quota = Q, topup = 0)
6. Xác nhận trước khi test: 413 hiển thị "Q"
7. Có kết nối internet ổn định
8. Đang ở màn Upload của feature i2i, đã chọn ảnh và style
9. [Cần BE/Infra giả lập] Mock vendor trả timeout</t>
        </is>
      </c>
      <c r="F52" s="33" t="inlineStr">
        <is>
          <t>Ví ban đầu: quota = Q · topup = 0</t>
        </is>
      </c>
      <c r="G52" s="33" t="inlineStr">
        <is>
          <t>1. Bấm Generate
2. Chờ kết quả</t>
        </is>
      </c>
      <c r="H52" s="33" t="inlineStr">
        <is>
          <t>1. Toast 483 hiển thị đúng copy
2. quota_balance = Q</t>
        </is>
      </c>
      <c r="I52" s="41" t="inlineStr">
        <is>
          <t>Chờ</t>
        </is>
      </c>
      <c r="J52" s="35" t="inlineStr"/>
      <c r="K52" s="35" t="inlineStr">
        <is>
          <t>Chờ BE/Infra: cần giả lập phía server (vendor lỗi/timeout, webhook, gọi API trực tiếp, proxy) — theo luật không tự giả lỗi server</t>
        </is>
      </c>
    </row>
    <row r="53" ht="312" customHeight="1" s="25">
      <c r="A53" s="31" t="n">
        <v>47</v>
      </c>
      <c r="B53" s="37" t="n"/>
      <c r="C53" s="37" t="n"/>
      <c r="D53" s="32" t="inlineStr">
        <is>
          <t>Mất mạng giữa lúc gen: coi là lỗi hệ thống, hoàn lượt khi reconnect</t>
        </is>
      </c>
      <c r="E53"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subscriber (tài khoản sandbox mua sub mới, chu kỳ bắt đầu hôm nay 2026-10-24)
5. Bắt đầu sau mốc reset 07:00 giờ VN, chưa gen lần nào trong ngày, không còn topup dư (quota = Q, topup = 0)
6. Xác nhận trước khi test: 413 hiển thị "Q"
7. Có kết nối internet ổn định
8. Đang ở màn Upload của feature i2i, đã chọn ảnh và style</t>
        </is>
      </c>
      <c r="F53" s="33" t="inlineStr">
        <is>
          <t>Ví ban đầu: quota = Q · topup = 0</t>
        </is>
      </c>
      <c r="G53" s="33" t="inlineStr">
        <is>
          <t>1. Bấm Generate
2. Khi đang Generating, bật Airplane Mode
3. Chờ BE timeout rồi tắt Airplane Mode</t>
        </is>
      </c>
      <c r="H53" s="33" t="inlineStr">
        <is>
          <t>1. Sau khi có mạng: toast 483 hiển thị đúng copy
2. quota_balance = Q</t>
        </is>
      </c>
      <c r="I53" s="38" t="inlineStr">
        <is>
          <t>FAIL</t>
        </is>
      </c>
      <c r="J53" s="35" t="inlineStr">
        <is>
          <t>Quota 4 → bấm Generate i2i → bật Airplane 20s → tắt: màn 'Generation Failed · Something went wrong while enhancing your photo. Please try again.' (copy nói 'enhancing' trên luồng i2i). Không có toast 483 hoàn lượt; 413 4 → 3 (lượt bị trừ). Event: i2i_gen_fail_view, không có credit_refund.</t>
        </is>
      </c>
      <c r="K53" s="35" t="inlineStr">
        <is>
          <t>KQ autotest 22/10 (TC cũ #47, lượt sub-test08_quota5-172226)</t>
        </is>
      </c>
      <c r="L53" s="36" t="inlineStr">
        <is>
          <t>2 ảnh — mở thư mục</t>
        </is>
      </c>
    </row>
    <row r="54" ht="312" customHeight="1" s="25">
      <c r="A54" s="31" t="n">
        <v>48</v>
      </c>
      <c r="B54" s="37" t="n"/>
      <c r="C54" s="37" t="n"/>
      <c r="D54" s="32" t="inlineStr">
        <is>
          <t>S6 — Hold treo: kill app, sau 10 phút auto-release, toast ở lần mở kế tiếp  [Cần BE hỗ trợ]</t>
        </is>
      </c>
      <c r="E54"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subscriber (tài khoản sandbox mua sub mới, chu kỳ bắt đầu hôm nay 2026-10-24)
5. Bắt đầu sau mốc reset 07:00 giờ VN, chưa gen lần nào trong ngày, không còn topup dư (quota = Q, topup = 0)
6. Xác nhận trước khi test: 413 hiển thị "Q"
7. Có kết nối internet ổn định
8. [Cần BE/Infra giả lập] Mock vendor không phản hồi</t>
        </is>
      </c>
      <c r="F54" s="33" t="inlineStr">
        <is>
          <t>Ví ban đầu: quota = Q · topup = 0</t>
        </is>
      </c>
      <c r="G54" s="33" t="inlineStr">
        <is>
          <t>1. Bấm Generate
2. Kill app ngay
3. Chờ &gt; 10 phút
4. Mở lại app</t>
        </is>
      </c>
      <c r="H54" s="33" t="inlineStr">
        <is>
          <t>1. Toast 483 hiển thị khi mở app
2. quota_balance = Q
3. Request được đánh dấu fail, cờ pending_refund đã xử lý (không toast lần 2 khi mở lại lần nữa)</t>
        </is>
      </c>
      <c r="I54" s="40" t="inlineStr">
        <is>
          <t>Pending</t>
        </is>
      </c>
      <c r="J54" s="35" t="inlineStr"/>
      <c r="K54" s="35" t="inlineStr">
        <is>
          <t>Pending: kill app giữa gen rồi chờ BE auto-release 10′ — user chỉ chạy case không chờ lâu (24/10 17:41)</t>
        </is>
      </c>
    </row>
    <row r="55" ht="351" customHeight="1" s="25">
      <c r="A55" s="31" t="n">
        <v>49</v>
      </c>
      <c r="B55" s="37" t="n"/>
      <c r="C55" s="37" t="n"/>
      <c r="D55" s="32" t="inlineStr">
        <is>
          <t>BVA — Hold chưa đủ 10 phút thì chưa hoàn  [Cần BE hỗ trợ]</t>
        </is>
      </c>
      <c r="E55"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subscriber (tài khoản sandbox mua sub mới, chu kỳ bắt đầu hôm nay 2026-10-24)
5. Máy A và máy B cùng tài khoản Apple đã đăng nhập trong app
6. Bắt đầu sau mốc reset 07:00 giờ VN, chưa gen lần nào trong ngày, không còn topup dư (quota = Q, topup = 0)
7. Xác nhận trước khi test: 413 hiển thị "Q"
8. Có kết nối internet ổn định
9. [Cần BE/Infra giả lập] Mock vendor không phản hồi</t>
        </is>
      </c>
      <c r="F55" s="33" t="inlineStr">
        <is>
          <t>Ví ban đầu: quota = Q · topup = 0</t>
        </is>
      </c>
      <c r="G55" s="33" t="inlineStr">
        <is>
          <t>1. Trên máy A bấm Generate, kill app
2. Ở phút thứ 9 mở 413 trên máy B</t>
        </is>
      </c>
      <c r="H55" s="33" t="inlineStr">
        <is>
          <t>1. Máy B hiển thị "Q − 1" (lượt vẫn đang HOLD)</t>
        </is>
      </c>
      <c r="I55" s="40" t="inlineStr">
        <is>
          <t>Pending</t>
        </is>
      </c>
      <c r="J55" s="35" t="inlineStr"/>
      <c r="K55" s="35" t="inlineStr">
        <is>
          <t>Pending: như N048 (đo lúc 9′)</t>
        </is>
      </c>
    </row>
    <row r="56" ht="312" customHeight="1" s="25">
      <c r="A56" s="31" t="n">
        <v>50</v>
      </c>
      <c r="B56" s="37" t="n"/>
      <c r="C56" s="37" t="n"/>
      <c r="D56" s="32" t="inlineStr">
        <is>
          <t>Đường lách tắt app: kill app giữa gen được hoàn sau 10 phút (hành vi đã chấp nhận)  [Cần BE hỗ trợ]</t>
        </is>
      </c>
      <c r="E56"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subscriber (tài khoản sandbox mua sub mới, chu kỳ bắt đầu hôm nay 2026-10-24)
5. Bắt đầu sau mốc reset 07:00 giờ VN, chưa gen lần nào trong ngày, không còn topup dư (quota = Q, topup = 0)
6. Xác nhận trước khi test: 413 hiển thị "Q"
7. Có kết nối internet ổn định
8. [Cần BE/Infra giả lập] Mock vendor không phản hồi &gt; 10 phút</t>
        </is>
      </c>
      <c r="F56" s="33" t="inlineStr">
        <is>
          <t>Ví ban đầu: quota = Q · topup = 0</t>
        </is>
      </c>
      <c r="G56" s="33" t="inlineStr">
        <is>
          <t>1. Bấm Generate
2. Force kill app (không qua dialog thoát)
3. Chờ &gt; 10 phút, mở lại app</t>
        </is>
      </c>
      <c r="H56" s="33" t="inlineStr">
        <is>
          <t>1. quota_balance = Q (khác với Leave Anyway bị trừ)
2. Toast 483 hiển thị</t>
        </is>
      </c>
      <c r="I56" s="40" t="inlineStr">
        <is>
          <t>Pending</t>
        </is>
      </c>
      <c r="J56" s="35" t="inlineStr"/>
      <c r="K56" s="35" t="inlineStr">
        <is>
          <t>Pending: như N048</t>
        </is>
      </c>
    </row>
    <row r="57" ht="376.5" customHeight="1" s="25">
      <c r="A57" s="31" t="n">
        <v>51</v>
      </c>
      <c r="B57" s="37" t="n"/>
      <c r="C57" s="37" t="n"/>
      <c r="D57" s="32" t="inlineStr">
        <is>
          <t>Hết lượt — app không gửi request gen (chặn ở client)</t>
        </is>
      </c>
      <c r="E57"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subscriber (tài khoản sandbox mua sub mới, chu kỳ bắt đầu hôm nay 2026-10-24)
5. Bắt đầu sau mốc reset 07:00 giờ VN, chưa gen lần nào trong ngày, không còn topup dư (quota = Q, topup = 0)
6. Gen thành công Q lần (dùng Enhance cho nhanh) để quota còn 0
7. Xác nhận trước khi test: 413 hiển thị "0"
8. Có kết nối internet ổn định
9. Bắt traffic qua proxy
10. Đang ở màn Upload của feature i2i, đã chọn ảnh và style</t>
        </is>
      </c>
      <c r="F57" s="33" t="inlineStr">
        <is>
          <t>Ví ban đầu: quota = 0 · topup = 0</t>
        </is>
      </c>
      <c r="G57" s="33" t="inlineStr">
        <is>
          <t>1. Bấm Generate</t>
        </is>
      </c>
      <c r="H57" s="33" t="inlineStr">
        <is>
          <t>1. Hiển thị 481
2. Không có request gen nào được gửi lên BE</t>
        </is>
      </c>
      <c r="I57" s="34" t="inlineStr">
        <is>
          <t>PASS</t>
        </is>
      </c>
      <c r="J57" s="35" t="inlineStr">
        <is>
          <t>hết 2 ví bấm Generate → 481=true (không request gen: cần proxy, chưa kiểm)</t>
        </is>
      </c>
      <c r="K57" s="35" t="inlineStr">
        <is>
          <t>KQ autotest 22/10 (TC cũ #51, lượt sub-test11_exhausted481-174238)</t>
        </is>
      </c>
      <c r="L57" s="36" t="inlineStr">
        <is>
          <t>3 ảnh — mở thư mục</t>
        </is>
      </c>
    </row>
    <row r="58" ht="363.75" customHeight="1" s="25">
      <c r="A58" s="31" t="n">
        <v>52</v>
      </c>
      <c r="B58" s="37" t="n"/>
      <c r="C58" s="37" t="n"/>
      <c r="D58" s="32" t="inlineStr">
        <is>
          <t>BE là lớp chặn thứ 2 — số dư cache của app cũ, BE trả ERR12</t>
        </is>
      </c>
      <c r="E58"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subscriber (tài khoản sandbox mua sub mới, chu kỳ bắt đầu hôm nay 2026-10-24)
5. Máy A và máy B cùng tài khoản Apple đã đăng nhập trong app
6. Bắt đầu sau mốc reset 07:00 giờ VN, chưa gen lần nào trong ngày, không còn topup dư (quota = Q, topup = 0)
7. Gen thành công (Q − 3) lần (dùng Enhance cho nhanh) để quota còn 3
8. Xác nhận trước khi test: 413 hiển thị "3"
9. Máy A đã tải get_info và đang ở màn i2i với ảnh + style đã chọn</t>
        </is>
      </c>
      <c r="F58" s="33" t="inlineStr">
        <is>
          <t>Ví ban đầu: quota = 3 · topup = 0</t>
        </is>
      </c>
      <c r="G58" s="33" t="inlineStr">
        <is>
          <t>1. Trên máy B gen thành công 3 lần (máy A không refresh)
2. Trên máy A bấm Generate</t>
        </is>
      </c>
      <c r="H58" s="33" t="inlineStr">
        <is>
          <t>1. BE trả ERR12
2. App hiển thị 481 "Bạn đã hết lượt hôm nay"
3. Số dư vẫn 0, không âm</t>
        </is>
      </c>
      <c r="I58" s="41" t="inlineStr">
        <is>
          <t>Chờ</t>
        </is>
      </c>
      <c r="J58" s="35" t="inlineStr"/>
      <c r="K58" s="35" t="inlineStr">
        <is>
          <t>Chờ tài nguyên: cần máy A + máy B cùng Apple ID</t>
        </is>
      </c>
    </row>
    <row r="59" ht="220.5" customHeight="1" s="25">
      <c r="A59" s="31" t="n">
        <v>53</v>
      </c>
      <c r="B59" s="37" t="n"/>
      <c r="C59" s="37" t="n"/>
      <c r="D59" s="32" t="inlineStr">
        <is>
          <t>Thiếu App User ID trong request → ERR16  [Cần BE hỗ trợ]</t>
        </is>
      </c>
      <c r="E59"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subscriber (tài khoản sandbox mua sub mới, chu kỳ bắt đầu hôm nay 2026-10-24)
5. Có kết nối internet ổn định
6. Gọi API gen bằng script/Postman</t>
        </is>
      </c>
      <c r="F59" s="33" t="inlineStr">
        <is>
          <t>N/A</t>
        </is>
      </c>
      <c r="G59" s="33" t="inlineStr">
        <is>
          <t>1. Gửi request gen không có App User ID</t>
        </is>
      </c>
      <c r="H59" s="33" t="inlineStr">
        <is>
          <t>1. BE từ chối với mã ERR16
2. Không tạo HOLD, số dư không đổi</t>
        </is>
      </c>
      <c r="I59" s="41" t="inlineStr">
        <is>
          <t>Chờ</t>
        </is>
      </c>
      <c r="J59" s="35" t="inlineStr"/>
      <c r="K59" s="35" t="inlineStr">
        <is>
          <t>Chờ BE/Infra: cần giả lập phía server (vendor lỗi/timeout, webhook, gọi API trực tiếp, proxy) — theo luật không tự giả lỗi server</t>
        </is>
      </c>
    </row>
    <row r="60" ht="324.75" customHeight="1" s="25">
      <c r="A60" s="31" t="n">
        <v>54</v>
      </c>
      <c r="B60" s="37" t="n"/>
      <c r="C60" s="37" t="n"/>
      <c r="D60" s="32" t="inlineStr">
        <is>
          <t>Concurrency — còn 1 lượt, bắn 2+ request cùng lúc qua API  [Cần BE hỗ trợ]</t>
        </is>
      </c>
      <c r="E60"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subscriber (tài khoản sandbox mua sub mới, chu kỳ bắt đầu hôm nay 2026-10-24)
5. Bắt đầu sau mốc reset 07:00 giờ VN, chưa gen lần nào trong ngày, không còn topup dư (quota = Q, topup = 0)
6. Gen thành công (Q − 1) lần (dùng Enhance cho nhanh) để quota còn 1
7. Xác nhận trước khi test: 413 hiển thị "1"
8. Script gọi API gen song song</t>
        </is>
      </c>
      <c r="F60" s="33" t="inlineStr">
        <is>
          <t>Ví ban đầu: quota = 1 · topup = 0</t>
        </is>
      </c>
      <c r="G60" s="33" t="inlineStr">
        <is>
          <t>1. Bắn đồng thời 10 request gen với cùng App User ID</t>
        </is>
      </c>
      <c r="H60" s="33" t="inlineStr">
        <is>
          <t>1. Chỉ 1 request được nhận (tạo HOLD)
2. 9 request còn lại bị từ chối ERR12
3. quota_balance không xuống âm</t>
        </is>
      </c>
      <c r="I60" s="41" t="inlineStr">
        <is>
          <t>Chờ</t>
        </is>
      </c>
      <c r="J60" s="35" t="inlineStr"/>
      <c r="K60" s="35" t="inlineStr">
        <is>
          <t>Chờ BE/Infra: cần giả lập phía server (vendor lỗi/timeout, webhook, gọi API trực tiếp, proxy) — theo luật không tự giả lỗi server</t>
        </is>
      </c>
    </row>
    <row r="61" ht="351" customHeight="1" s="25">
      <c r="A61" s="31" t="n">
        <v>55</v>
      </c>
      <c r="B61" s="37" t="n"/>
      <c r="C61" s="37" t="n"/>
      <c r="D61" s="32" t="inlineStr">
        <is>
          <t>Tap Generate liên tục nhanh khi còn 1 lượt</t>
        </is>
      </c>
      <c r="E61"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subscriber (tài khoản sandbox mua sub mới, chu kỳ bắt đầu hôm nay 2026-10-24)
5. Bắt đầu sau mốc reset 07:00 giờ VN, chưa gen lần nào trong ngày, không còn topup dư (quota = Q, topup = 0)
6. Gen thành công (Q − 1) lần (dùng Enhance cho nhanh) để quota còn 1
7. Xác nhận trước khi test: 413 hiển thị "1"
8. Có kết nối internet ổn định
9. Đang ở màn Upload của feature i2i, đã chọn ảnh và style</t>
        </is>
      </c>
      <c r="F61" s="33" t="inlineStr">
        <is>
          <t>Ví ban đầu: quota = 1 · topup = 0</t>
        </is>
      </c>
      <c r="G61" s="33" t="inlineStr">
        <is>
          <t>1. Tap Generate 5 lần liên tiếp thật nhanh</t>
        </is>
      </c>
      <c r="H61" s="33" t="inlineStr">
        <is>
          <t>1. Chỉ 1 job gen được tạo, 1 màn Generating
2. quota_balance = 0 sau khi thành công</t>
        </is>
      </c>
      <c r="I61" s="34" t="inlineStr">
        <is>
          <t>PASS</t>
        </is>
      </c>
      <c r="J61" s="35" t="inlineStr">
        <is>
          <t>5 lần bấm nhanh: kết quả=true · 481 chen=false · 413 sau=0 (chỉ 1 job)</t>
        </is>
      </c>
      <c r="K61" s="35" t="inlineStr">
        <is>
          <t>KQ autotest 22/10 (TC cũ #55, lượt sub-test10_quota1-173504)</t>
        </is>
      </c>
      <c r="L61" s="36" t="inlineStr">
        <is>
          <t>1 ảnh — mở thư mục</t>
        </is>
      </c>
    </row>
    <row r="62" ht="234" customHeight="1" s="25">
      <c r="A62" s="31" t="n">
        <v>56</v>
      </c>
      <c r="B62" s="37" t="n"/>
      <c r="C62" s="37" t="n"/>
      <c r="D62" s="32" t="inlineStr">
        <is>
          <t>Offline bấm Generate — chặn ngay, không mở paywall</t>
        </is>
      </c>
      <c r="E62"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subscriber (tài khoản sandbox mua sub mới, chu kỳ bắt đầu hôm nay 2026-10-24)
5. Bật Airplane Mode
6. Đang ở màn Upload của feature i2i, đã chọn ảnh và style</t>
        </is>
      </c>
      <c r="F62" s="33" t="inlineStr">
        <is>
          <t>N/A</t>
        </is>
      </c>
      <c r="G62" s="33" t="inlineStr">
        <is>
          <t>1. Bấm Generate</t>
        </is>
      </c>
      <c r="H62" s="33" t="inlineStr">
        <is>
          <t xml:space="preserve">1. Gen bị chặn kèm thông báo cần mạng
2. Không mở paywall / 481 nào
</t>
        </is>
      </c>
      <c r="I62" s="34" t="inlineStr">
        <is>
          <t>PASS</t>
        </is>
      </c>
      <c r="J62" s="35" t="inlineStr">
        <is>
          <t>offline bấm Generate: paywall=false · 481=false · thông báo='No internet connection. Please try again.' · màn: Image to Image · Generate · No internet connection. Please try again. · Back · Close · Generate</t>
        </is>
      </c>
      <c r="K62" s="35" t="inlineStr">
        <is>
          <t>KQ autotest 22/10 (TC cũ #56, lượt sub-offline056-181420)</t>
        </is>
      </c>
      <c r="L62" s="36" t="inlineStr">
        <is>
          <t>1 ảnh — mở thư mục</t>
        </is>
      </c>
    </row>
    <row r="63" ht="298.5" customHeight="1" s="25">
      <c r="A63" s="31" t="n">
        <v>57</v>
      </c>
      <c r="B63" s="39" t="n"/>
      <c r="C63" s="39" t="n"/>
      <c r="D63" s="32" t="inlineStr">
        <is>
          <t>Đổi giờ thiết bị không lấy thêm được lượt</t>
        </is>
      </c>
      <c r="E63"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subscriber (tài khoản sandbox mua sub mới, chu kỳ bắt đầu hôm nay 2026-10-24)
5. Bắt đầu sau mốc reset 07:00 giờ VN, chưa gen lần nào trong ngày, không còn topup dư (quota = Q, topup = 0)
6. Gen thành công Q lần (dùng Enhance cho nhanh) để quota còn 0
7. Xác nhận trước khi test: 413 hiển thị "0"</t>
        </is>
      </c>
      <c r="F63" s="33" t="inlineStr">
        <is>
          <t>Ví ban đầu: quota = 0 · topup = 0</t>
        </is>
      </c>
      <c r="G63" s="33" t="inlineStr">
        <is>
          <t>1. Settings iOS → tắt Set Automatically, đẩy giờ máy lên +1 ngày
2. Mở app, bấm Generate</t>
        </is>
      </c>
      <c r="H63" s="33" t="inlineStr">
        <is>
          <t>1. Vẫn hiển thị 481
2. quota_balance vẫn 0</t>
        </is>
      </c>
      <c r="I63" s="41" t="inlineStr">
        <is>
          <t>Chờ</t>
        </is>
      </c>
      <c r="J63" s="35" t="inlineStr"/>
      <c r="K63" s="35" t="inlineStr">
        <is>
          <t>Chưa chạy: đổi ngày giờ hệ thống trên máy test (ảnh hưởng sandbox &amp; lượt chạy khác) — cần người đồng ý</t>
        </is>
      </c>
    </row>
    <row r="64" ht="15.75" customHeight="1" s="25">
      <c r="A64" s="30" t="inlineStr">
        <is>
          <t>▌ 5. 481 Dialog hết lượt</t>
        </is>
      </c>
    </row>
    <row r="65" ht="351" customHeight="1" s="25">
      <c r="A65" s="31" t="n">
        <v>58</v>
      </c>
      <c r="B65" s="31" t="inlineStr">
        <is>
          <t>481 Dialog hết lượt</t>
        </is>
      </c>
      <c r="C65" s="32" t="inlineStr">
        <is>
          <t>UI</t>
        </is>
      </c>
      <c r="D65" s="32" t="inlineStr">
        <is>
          <t>Nội dung dialog 481</t>
        </is>
      </c>
      <c r="E65"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subscriber (tài khoản sandbox mua sub mới, chu kỳ bắt đầu hôm nay 2026-10-24)
5. Bắt đầu sau mốc reset 07:00 giờ VN, chưa gen lần nào trong ngày, không còn topup dư (quota = Q, topup = 0)
6. Gen thành công Q lần (dùng Enhance cho nhanh) để quota còn 0
7. Xác nhận trước khi test: 413 hiển thị "0"
8. Có kết nối internet ổn định
9. Đang ở màn Upload của feature i2i, đã chọn ảnh và style</t>
        </is>
      </c>
      <c r="F65" s="33" t="inlineStr">
        <is>
          <t>Ví ban đầu: quota = 0 · topup = 0</t>
        </is>
      </c>
      <c r="G65" s="33" t="inlineStr">
        <is>
          <t>1. Bấm Generate
2. Quan sát dialog</t>
        </is>
      </c>
      <c r="H65" s="33" t="inlineStr">
        <is>
          <t>1. Dialog native, tiêu đề "Bạn đã hết lượt hôm nay"
2. Nội dung "Mua thêm để tiếp tục tạo ngay."
3. 2 CTA: "Mua thêm" / "Để mai" — không kèm giá
4. Không có đồng hồ đếm ngược, không có câu nói bao giờ lượt về</t>
        </is>
      </c>
      <c r="I65" s="42" t="inlineStr">
        <is>
          <t>Lệch spec</t>
        </is>
      </c>
      <c r="J65" s="35" t="inlineStr">
        <is>
          <t>481: Image to Image · Generate · Daily limit reached · Your creations renew tomorrow. Need more today? · Back · Close (spec 'Bạn đã hết lượt hôm nay' / 'Mua thêm để tiếp tục tạo ngay.' / 'Mua thêm' · 'Để mai'; app có câu 'renew tomorrow' — spec cấm câu nói bao giờ lượt về)</t>
        </is>
      </c>
      <c r="K65" s="35" t="inlineStr">
        <is>
          <t>KQ autotest 22/10 (TC cũ #58, lượt sub-test11_exhausted481-174238)</t>
        </is>
      </c>
      <c r="L65" s="36" t="inlineStr">
        <is>
          <t>1 ảnh — mở thư mục</t>
        </is>
      </c>
    </row>
    <row r="66" ht="312" customHeight="1" s="25">
      <c r="A66" s="31" t="n">
        <v>59</v>
      </c>
      <c r="B66" s="37" t="n"/>
      <c r="C66" s="31" t="inlineStr">
        <is>
          <t>Logic</t>
        </is>
      </c>
      <c r="D66" s="32" t="inlineStr">
        <is>
          <t>"Để mai" — đóng dialog, giữ nguyên ảnh và style</t>
        </is>
      </c>
      <c r="E66"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subscriber (tài khoản sandbox mua sub mới, chu kỳ bắt đầu hôm nay 2026-10-24)
5. Bắt đầu sau mốc reset 07:00 giờ VN, chưa gen lần nào trong ngày, không còn topup dư (quota = Q, topup = 0)
6. Gen thành công Q lần (dùng Enhance cho nhanh) để quota còn 0
7. Xác nhận trước khi test: 413 hiển thị "0"
8. Đang thấy 481 từ màn i2i</t>
        </is>
      </c>
      <c r="F66" s="33" t="inlineStr">
        <is>
          <t>Ví ban đầu: quota = 0 · topup = 0</t>
        </is>
      </c>
      <c r="G66" s="33" t="inlineStr">
        <is>
          <t>1. Tap "Để mai"</t>
        </is>
      </c>
      <c r="H66" s="33" t="inlineStr">
        <is>
          <t>1. Dialog đóng, ở lại màn i2i
2. Ảnh và style đã chọn vẫn giữ nguyên
3. Không mở màn topup, không có request gen</t>
        </is>
      </c>
      <c r="I66" s="34" t="inlineStr">
        <is>
          <t>PASS</t>
        </is>
      </c>
      <c r="J66" s="35" t="inlineStr">
        <is>
          <t>Maybe later → ở lại Upload, ảnh còn=true · không mở topup</t>
        </is>
      </c>
      <c r="K66" s="35" t="inlineStr">
        <is>
          <t>KQ autotest 22/10 (TC cũ #59, lượt sub-test11_exhausted481-174238)</t>
        </is>
      </c>
      <c r="L66" s="36" t="inlineStr">
        <is>
          <t>1 ảnh — mở thư mục</t>
        </is>
      </c>
    </row>
    <row r="67" ht="312" customHeight="1" s="25">
      <c r="A67" s="31" t="n">
        <v>60</v>
      </c>
      <c r="B67" s="37" t="n"/>
      <c r="C67" s="37" t="n"/>
      <c r="D67" s="32" t="inlineStr">
        <is>
          <t>Sau "Để mai", bấm Generate lại trong ngày → 481 lại hiện</t>
        </is>
      </c>
      <c r="E67"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subscriber (tài khoản sandbox mua sub mới, chu kỳ bắt đầu hôm nay 2026-10-24)
5. Bắt đầu sau mốc reset 07:00 giờ VN, chưa gen lần nào trong ngày, không còn topup dư (quota = Q, topup = 0)
6. Gen thành công Q lần (dùng Enhance cho nhanh) để quota còn 0
7. Xác nhận trước khi test: 413 hiển thị "0"
8. Vừa đóng 481 bằng "Để mai"</t>
        </is>
      </c>
      <c r="F67" s="33" t="inlineStr">
        <is>
          <t>Ví ban đầu: quota = 0 · topup = 0</t>
        </is>
      </c>
      <c r="G67" s="33" t="inlineStr">
        <is>
          <t>1. Bấm Generate lần nữa</t>
        </is>
      </c>
      <c r="H67" s="33" t="inlineStr">
        <is>
          <t>1. Dialog 481 hiển thị lại</t>
        </is>
      </c>
      <c r="I67" s="34" t="inlineStr">
        <is>
          <t>PASS</t>
        </is>
      </c>
      <c r="J67" s="35" t="inlineStr">
        <is>
          <t>bấm Generate lần nữa → 481 hiện lại=true</t>
        </is>
      </c>
      <c r="K67" s="35" t="inlineStr">
        <is>
          <t>KQ autotest 22/10 (TC cũ #60, lượt sub-test11_exhausted481-174238)</t>
        </is>
      </c>
      <c r="L67" s="36" t="inlineStr">
        <is>
          <t>3 ảnh — mở thư mục</t>
        </is>
      </c>
    </row>
    <row r="68" ht="337.5" customHeight="1" s="25">
      <c r="A68" s="31" t="n">
        <v>61</v>
      </c>
      <c r="B68" s="37" t="n"/>
      <c r="C68" s="37" t="n"/>
      <c r="D68" s="32" t="inlineStr">
        <is>
          <t>"Mua thêm" → mở màn topup đúng mã feature, entry_point = dialog_481</t>
        </is>
      </c>
      <c r="E68"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subscriber (tài khoản sandbox mua sub mới, chu kỳ bắt đầu hôm nay 2026-10-24)
5. Bắt đầu sau mốc reset 07:00 giờ VN, chưa gen lần nào trong ngày, không còn topup dư (quota = Q, topup = 0)
6. Gen thành công Q lần (dùng Enhance cho nhanh) để quota còn 0
7. Xác nhận trước khi test: 413 hiển thị "0"
8. Có kết nối internet ổn định
9. Bật debug log</t>
        </is>
      </c>
      <c r="F68" s="33" t="inlineStr">
        <is>
          <t>Ví ban đầu: quota = 0 · topup = 0
enhance→216
i2i→217
i2v→218
restore→219
remove_object→220
motion→221
seedance→228
tryon→229
looks→230
video→231</t>
        </is>
      </c>
      <c r="G68" s="33" t="inlineStr">
        <is>
          <t>1. Mở feature theo Test data, bấm Generate
2. Tap "Mua thêm" ở 481</t>
        </is>
      </c>
      <c r="H68" s="33" t="inlineStr">
        <is>
          <t>1. Mở màn topup offering 216_0.99 với đúng paywall code trong Test data
2. entry_point = dialog_481</t>
        </is>
      </c>
      <c r="I68" s="38" t="inlineStr">
        <is>
          <t>FAIL</t>
        </is>
      </c>
      <c r="J68" s="35" t="inlineStr">
        <is>
          <t>481 (i2i) → 'Get more' → mở paywall RevenueCat topup placement của i2i ('Still not ready to subscribe?', 0.99$, CTA 'Get 1 creation'). Event: topup_oq_buy_click{feature_name=I2I} → topup_paywall_view{feature_name=I2I, purchase_index=12} — KHÔNG có param entry_point=dialog_481; mã paywall không có trong event. Feature khác (enhance/i2v/restore/...): chưa chạy. Mã paywall: iap_view source=iap_217_topup_i2i_paywall, offering 216_0.99 — đúng mã 217 cho i2i.</t>
        </is>
      </c>
      <c r="K68" s="35" t="inlineStr">
        <is>
          <t>KQ autotest 22/10 (TC cũ #61, lượt sub-test11_exhausted481-174238)</t>
        </is>
      </c>
      <c r="L68" s="36" t="inlineStr">
        <is>
          <t>1 ảnh — mở thư mục</t>
        </is>
      </c>
    </row>
    <row r="69" ht="246.75" customHeight="1" s="25">
      <c r="A69" s="31" t="n">
        <v>62</v>
      </c>
      <c r="B69" s="37" t="n"/>
      <c r="C69" s="37" t="n"/>
      <c r="D69" s="32" t="inlineStr">
        <is>
          <t>Free user hết topup KHÔNG bao giờ thấy 481</t>
        </is>
      </c>
      <c r="E69"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free user (chưa mua sub, không có ví quota)
5. topup_balance = 0 (quota_balance luôn = 0)
6. Có kết nối internet ổn định
7. Đang ở màn Upload của feature i2i, đã chọn ảnh và style</t>
        </is>
      </c>
      <c r="F69" s="33" t="inlineStr">
        <is>
          <t>N/A</t>
        </is>
      </c>
      <c r="G69" s="33" t="inlineStr">
        <is>
          <t>1. Bấm Generate</t>
        </is>
      </c>
      <c r="H69" s="33" t="inlineStr">
        <is>
          <t>1. Không hiển thị 481
2. Hiển thị paywall feature (bước đầu chuỗi paywall)</t>
        </is>
      </c>
      <c r="I69" s="34" t="inlineStr">
        <is>
          <t>PASS</t>
        </is>
      </c>
      <c r="J69" s="35" t="inlineStr">
        <is>
          <t>bấm Generate (free, topup 0) → paywall: App Store · Editor's Choice · Meet Your Best Version  · AI Face Retouching &amp; Enhancement · 500+ Beauty Filters &amp; Effects · HD Export Without Watermark · 20 AI creations every day, refreshed automatically · Weekly · có 481=false</t>
        </is>
      </c>
      <c r="K69" s="35" t="inlineStr">
        <is>
          <t>KQ autotest 22/10 (TC cũ #62, lượt free-rc091b-162731)</t>
        </is>
      </c>
      <c r="L69" s="36" t="inlineStr">
        <is>
          <t>3 ảnh — mở thư mục</t>
        </is>
      </c>
    </row>
    <row r="70" ht="181.5" customHeight="1" s="25">
      <c r="A70" s="31" t="n">
        <v>63</v>
      </c>
      <c r="B70" s="37" t="n"/>
      <c r="C70" s="39" t="n"/>
      <c r="D70" s="32" t="inlineStr">
        <is>
          <t>Grandfather gen nhiều hơn Q lần không bị chặn  [Cần BE hỗ trợ]</t>
        </is>
      </c>
      <c r="E70" s="33" t="inlineStr">
        <is>
          <t>1. RC (Firebase): enable_daily_quota = true · enable_topup = true · topup_offer_max_per_day = 1
2. CMS: số lượt/ngày = Q (PO cấu hình trên CMS, mặc định 20; mọi số lượt trong TC tính theo Q)
3. RC: quota_grandfather_until = 2026-10-25T00:00:00Z (= hôm nay + 1, ngày tương lai → app chạy cơ chế cũ) — user là subscriber, chu kỳ bắt đầu hôm nay (trước mốc) → grandfather
4. Có kết nối internet ổn định</t>
        </is>
      </c>
      <c r="F70" s="33" t="inlineStr">
        <is>
          <t>N/A</t>
        </is>
      </c>
      <c r="G70" s="33" t="inlineStr">
        <is>
          <t>1. Gen thành công Q + 1 lần liên tiếp ở feature ảnh rẻ (enhance)</t>
        </is>
      </c>
      <c r="H70" s="33" t="inlineStr">
        <is>
          <t>1. Lần thứ Q + 1 vẫn gen bình thường
2. Không hiển thị 481
3. Không có HOLD nào được tạo cho user (kiểm sổ BE)</t>
        </is>
      </c>
      <c r="I70" s="34" t="inlineStr">
        <is>
          <t>PASS</t>
        </is>
      </c>
      <c r="J70" s="35" t="inlineStr">
        <is>
          <t>KQ: grandfather gen &gt; Q: 21/21 lượt result, 481=0 · ví (Debug quota.total/topup) 15/0 → sau thử mua 15/0 → sau gen 15/0 · tier=unlimitedV1 · isUnlimitedGen=true</t>
        </is>
      </c>
      <c r="K70" s="35" t="inlineStr">
        <is>
          <t>Autotest vòng 2 24/10 · lượt r2fin-test06_grandfatherGenBeyondQ-112506</t>
        </is>
      </c>
    </row>
    <row r="71" ht="337.5" customHeight="1" s="25">
      <c r="A71" s="31" t="n">
        <v>64</v>
      </c>
      <c r="B71" s="39" t="n"/>
      <c r="C71" s="32" t="inlineStr">
        <is>
          <t>Edge Case</t>
        </is>
      </c>
      <c r="D71" s="32" t="inlineStr">
        <is>
          <t>Tap "Mua thêm" liên tục nhanh</t>
        </is>
      </c>
      <c r="E71"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subscriber (tài khoản sandbox mua sub mới, chu kỳ bắt đầu hôm nay 2026-10-24)
5. Bắt đầu sau mốc reset 07:00 giờ VN, chưa gen lần nào trong ngày, không còn topup dư (quota = Q, topup = 0)
6. Gen thành công Q lần (dùng Enhance cho nhanh) để quota còn 0
7. Xác nhận trước khi test: 413 hiển thị "0"
8. Có kết nối internet ổn định
9. Đang thấy 481</t>
        </is>
      </c>
      <c r="F71" s="33" t="inlineStr">
        <is>
          <t>Ví ban đầu: quota = 0 · topup = 0</t>
        </is>
      </c>
      <c r="G71" s="33" t="inlineStr">
        <is>
          <t>1. Tap "Mua thêm" 3 lần liên tiếp thật nhanh</t>
        </is>
      </c>
      <c r="H71" s="33" t="inlineStr">
        <is>
          <t>1. Chỉ mở 1 màn topup (không chồng 2 màn)</t>
        </is>
      </c>
      <c r="I71" s="34" t="inlineStr">
        <is>
          <t>PASS</t>
        </is>
      </c>
      <c r="J71" s="35" t="inlineStr">
        <is>
          <t>3 lần bấm nhanh Get more → còn màn bán chồng sau khi đóng 1 lần=false</t>
        </is>
      </c>
      <c r="K71" s="35" t="inlineStr">
        <is>
          <t>KQ autotest 22/10 (TC cũ #64, lượt sub-test11_exhausted481-174238)</t>
        </is>
      </c>
      <c r="L71" s="36" t="inlineStr">
        <is>
          <t>3 ảnh — mở thư mục</t>
        </is>
      </c>
    </row>
    <row r="72" ht="15.75" customHeight="1" s="25">
      <c r="A72" s="30" t="inlineStr">
        <is>
          <t>▌ 6. Màn topup &amp; mua Topup (AC2)</t>
        </is>
      </c>
    </row>
    <row r="73" ht="312" customHeight="1" s="25">
      <c r="A73" s="31" t="n">
        <v>65</v>
      </c>
      <c r="B73" s="31" t="inlineStr">
        <is>
          <t>Màn topup &amp; mua Topup (AC2)</t>
        </is>
      </c>
      <c r="C73" s="32" t="inlineStr">
        <is>
          <t>UI</t>
        </is>
      </c>
      <c r="D73" s="32" t="inlineStr">
        <is>
          <t>Màn topup — subscriber</t>
        </is>
      </c>
      <c r="E73"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subscriber (tài khoản sandbox mua sub mới, chu kỳ bắt đầu hôm nay 2026-10-24)
5. Bắt đầu sau mốc reset 07:00 giờ VN, chưa gen lần nào trong ngày, không còn topup dư (quota = Q, topup = 0)
6. Gen thành công Q lần (dùng Enhance cho nhanh) để quota còn 0
7. Xác nhận trước khi test: 413 hiển thị "0"
8. Có kết nối internet ổn định</t>
        </is>
      </c>
      <c r="F73" s="33" t="inlineStr">
        <is>
          <t>Ví ban đầu: quota = 0 · topup = 0</t>
        </is>
      </c>
      <c r="G73" s="33" t="inlineStr">
        <is>
          <t>1. Mở màn topup từ 481 → "Mua thêm"</t>
        </is>
      </c>
      <c r="H73" s="33" t="inlineStr">
        <is>
          <t>1. Tiêu đề "Top-up creations"
2. Thẻ "0 top-up creations left"
3. Nhãn danh sách "Choose a Package", dòng package "1 Creation — One-time purchase — $0.99"
4. Nút "Purchase"
5. Không có chữ "credit", "Unlimited", không có dòng nhắc thứ tự tiêu</t>
        </is>
      </c>
      <c r="I73" s="42" t="inlineStr">
        <is>
          <t>Lệch spec</t>
        </is>
      </c>
      <c r="J73" s="35" t="inlineStr">
        <is>
          <t>màn mở từ 481: App Store · Editor's Choice · Still not ready to subscribe? · Includes 1 AI creation · One-time purchase only · No subscription or auto-renewal · Instant access after purchase · 0.99$ · one-time purchase · I (spec 'Top-up creations' · '0 top-up creations left' · 'Choose a Package' · '1 Creation — One-time purchase — $0.99' · 'Purchase')</t>
        </is>
      </c>
      <c r="K73" s="35" t="inlineStr">
        <is>
          <t>KQ autotest 22/10 (TC cũ #65, lượt sub-test11_exhausted481-174238)</t>
        </is>
      </c>
      <c r="L73" s="36" t="inlineStr">
        <is>
          <t>3 ảnh — mở thư mục</t>
        </is>
      </c>
    </row>
    <row r="74" ht="351" customHeight="1" s="25">
      <c r="A74" s="31" t="n">
        <v>66</v>
      </c>
      <c r="B74" s="37" t="n"/>
      <c r="C74" s="31" t="inlineStr">
        <is>
          <t>Logic</t>
        </is>
      </c>
      <c r="D74" s="32" t="inlineStr">
        <is>
          <t>Thẻ màn topup chỉ hiện topup_balance (khác 413)</t>
        </is>
      </c>
      <c r="E74"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subscriber (tài khoản sandbox mua sub mới, chu kỳ bắt đầu hôm nay 2026-10-24)
5. Bắt đầu sau mốc reset 07:00 giờ VN, chưa gen lần nào trong ngày, không còn topup dư (quota = Q, topup = 0)
6. Sau khi gen xong mới mua 3 lượt topup qua 413 → Get More (topup bị tiêu trước nên phải mua sau)
7. Xác nhận trước khi test: 413 hiển thị "Q + 3", màn topup hiển thị "3 top-up creations left"
8. Có kết nối internet ổn định</t>
        </is>
      </c>
      <c r="F74" s="33" t="inlineStr">
        <is>
          <t>Ví ban đầu: quota = Q · topup = 3</t>
        </is>
      </c>
      <c r="G74" s="33" t="inlineStr">
        <is>
          <t>1. Vào 413, ghi lại số
2. Tap Get More, đọc thẻ màn topup</t>
        </is>
      </c>
      <c r="H74" s="33" t="inlineStr">
        <is>
          <t>1. 413 hiển thị "Q + 3"
2. Màn topup hiển thị "3 top-up creations left"
3. một công thức duy nhất' ghi màn topup = topup+quota</t>
        </is>
      </c>
      <c r="I74" s="42" t="inlineStr">
        <is>
          <t>Lệch spec</t>
        </is>
      </c>
      <c r="J74" s="35" t="inlineStr">
        <is>
          <t>413=23 · màn topup '3 topup creations' (spec '3 top-up creations left')</t>
        </is>
      </c>
      <c r="K74" s="35" t="inlineStr">
        <is>
          <t>KQ autotest 22/10 (TC cũ #66, lượt sub-test02_subBuyPullAndReadThreePlaces-163527) · chấm lại theo Expected mới: Màn topup "3 topup creations" vs spec "3 top-up creations left".</t>
        </is>
      </c>
      <c r="L74" s="36" t="inlineStr">
        <is>
          <t>1 ảnh — mở thư mục</t>
        </is>
      </c>
    </row>
    <row r="75" ht="376.5" customHeight="1" s="25">
      <c r="A75" s="31" t="n">
        <v>67</v>
      </c>
      <c r="B75" s="37" t="n"/>
      <c r="C75" s="37" t="n"/>
      <c r="D75" s="32" t="inlineStr">
        <is>
          <t>Push — mua từ 481 thành công, tự tiếp tục flow gen đang dở</t>
        </is>
      </c>
      <c r="E75"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subscriber (tài khoản sandbox mua sub mới, chu kỳ bắt đầu hôm nay 2026-10-24)
5. Bắt đầu sau mốc reset 07:00 giờ VN, chưa gen lần nào trong ngày, không còn topup dư (quota = Q, topup = 0)
6. Gen thành công Q lần (dùng Enhance cho nhanh) để quota còn 0
7. Xác nhận trước khi test: 413 hiển thị "0"
8. Có kết nối internet ổn định
9. Đang ở màn Upload của feature i2i, đã chọn ảnh và style
10. Sandbox Apple account</t>
        </is>
      </c>
      <c r="F75" s="33" t="inlineStr">
        <is>
          <t>Ví ban đầu: quota = 0 · topup = 0</t>
        </is>
      </c>
      <c r="G75" s="33" t="inlineStr">
        <is>
          <t>1. Bấm Generate → 481 → "Mua thêm"
2. Chọn package → Purchase → thanh toán thành công
3. Đóng 482</t>
        </is>
      </c>
      <c r="H75" s="33" t="inlineStr">
        <is>
          <t xml:space="preserve">1. Hiển thị 482 xác nhận
2. Flow gen i2i tự chạy tiếp với đúng ảnh và style đã chọn
3. Gen thành công → topup_balance = 0 (lượt vừa mua bị trừ ngay)
</t>
        </is>
      </c>
      <c r="I75" s="38" t="inlineStr">
        <is>
          <t>FAIL</t>
        </is>
      </c>
      <c r="J75" s="35" t="inlineStr">
        <is>
          <t>Subscriber hết 2 ví → Generate → 481 → Get more → paywall topup i2i (mã 217) → mua → app rời paywall, gen i2i TỰ CHẠY TIẾP (Generating 34% → kết quả) với đúng ảnh/style; topup sau = 0. Không có màn 482 riêng.</t>
        </is>
      </c>
      <c r="K75" s="35" t="inlineStr">
        <is>
          <t>KQ autotest 22/10 (TC cũ #67, lượt sub-rerun067-180740) · chấm lại theo Expected mới: Bỏ ambiguity → mục 1 "Hiển thị 482" chấm chặt: không có màn 482 riêng (đồng bộ TC-099/105); gen tự chạy tiếp + topup 0 đúng.</t>
        </is>
      </c>
      <c r="L75" s="36" t="inlineStr">
        <is>
          <t>5 ảnh — mở thư mục</t>
        </is>
      </c>
    </row>
    <row r="76" ht="324.75" customHeight="1" s="25">
      <c r="A76" s="31" t="n">
        <v>68</v>
      </c>
      <c r="B76" s="37" t="n"/>
      <c r="C76" s="37" t="n"/>
      <c r="D76" s="32" t="inlineStr">
        <is>
          <t>Pull — subscriber còn quota mua chủ động</t>
        </is>
      </c>
      <c r="E76"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subscriber (tài khoản sandbox mua sub mới, chu kỳ bắt đầu hôm nay 2026-10-24)
5. Bắt đầu sau mốc reset 07:00 giờ VN, chưa gen lần nào trong ngày, không còn topup dư (quota = Q, topup = 0)
6. Gen thành công 1 lần (dùng Enhance cho nhanh) để quota còn Q − 1
7. Xác nhận trước khi test: 413 hiển thị "Q − 1"
8. Có kết nối internet ổn định</t>
        </is>
      </c>
      <c r="F76" s="33" t="inlineStr">
        <is>
          <t>Ví ban đầu: quota = Q − 1 · topup = 0</t>
        </is>
      </c>
      <c r="G76" s="33" t="inlineStr">
        <is>
          <t>1. Setting → My Balance → Get More
2. Mua package $0.99 thành công
3. Đóng 482</t>
        </is>
      </c>
      <c r="H76" s="33" t="inlineStr">
        <is>
          <t>1. Nút Get More hiển thị dù còn quota
2. Không có dòng nhắc thứ tự tiêu (theo mục 6)
3. Sau 482 quay về 413 hiển thị "Q"
4. Không chạy gen nào</t>
        </is>
      </c>
      <c r="I76" s="34" t="inlineStr">
        <is>
          <t>PASS</t>
        </is>
      </c>
      <c r="J76" s="35" t="inlineStr">
        <is>
          <t>Get More hiện khi còn quota=true · mua → 413 15 → 16 · không chạy gen</t>
        </is>
      </c>
      <c r="K76" s="35" t="inlineStr">
        <is>
          <t>KQ autotest 22/10 (TC cũ #68, lượt sub-test06_quota15-165630)</t>
        </is>
      </c>
      <c r="L76" s="36" t="inlineStr">
        <is>
          <t>1 ảnh — mở thư mục</t>
        </is>
      </c>
    </row>
    <row r="77" ht="376.5" customHeight="1" s="25">
      <c r="A77" s="31" t="n">
        <v>69</v>
      </c>
      <c r="B77" s="37" t="n"/>
      <c r="C77" s="37" t="n"/>
      <c r="D77" s="32" t="inlineStr">
        <is>
          <t>Pull — subscriber hết quota mua chủ động</t>
        </is>
      </c>
      <c r="E77"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subscriber (tài khoản sandbox mua sub mới, chu kỳ bắt đầu hôm nay 2026-10-24)
5. Bắt đầu sau mốc reset 07:00 giờ VN, chưa gen lần nào trong ngày, không còn topup dư (quota = Q, topup = 0)
6. Gen thành công Q lần (dùng Enhance cho nhanh) để quota còn 0
7. Sau khi gen xong mới mua 1 lượt topup qua 413 → Get More (topup bị tiêu trước nên phải mua sau)
8. Xác nhận trước khi test: 413 hiển thị "1", màn topup hiển thị "1 top-up creations left"
9. Có kết nối internet ổn định</t>
        </is>
      </c>
      <c r="F77" s="33" t="inlineStr">
        <is>
          <t>Ví ban đầu: quota = 0 · topup = 1</t>
        </is>
      </c>
      <c r="G77" s="33" t="inlineStr">
        <is>
          <t>1. Setting → My Balance → Get More
2. Mua thành công
3. Đóng 482</t>
        </is>
      </c>
      <c r="H77" s="33" t="inlineStr">
        <is>
          <t>1. Quay về 413 hiển thị "2"</t>
        </is>
      </c>
      <c r="I77" s="34" t="inlineStr">
        <is>
          <t>PASS</t>
        </is>
      </c>
      <c r="J77" s="35" t="inlineStr">
        <is>
          <t>quota 0, topup 1 → mua pull → 413 2 (spec 1 → 2)</t>
        </is>
      </c>
      <c r="K77" s="35" t="inlineStr">
        <is>
          <t>KQ autotest 22/10 (TC cũ #69, lượt sub-test13_pullWhenExhaustedThenGen-175557)</t>
        </is>
      </c>
    </row>
    <row r="78" ht="234" customHeight="1" s="25">
      <c r="A78" s="31" t="n">
        <v>70</v>
      </c>
      <c r="B78" s="37" t="n"/>
      <c r="C78" s="37" t="n"/>
      <c r="D78" s="32" t="inlineStr">
        <is>
          <t>Mua topup nhiều lần liên tiếp — không giới hạn (Consumable)</t>
        </is>
      </c>
      <c r="E78"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subscriber (tài khoản sandbox mua sub mới, chu kỳ bắt đầu hôm nay 2026-10-24)
5. Ví topup = 0 — màn topup hiển thị "0 top-up creations left"
6. Có kết nối internet ổn định</t>
        </is>
      </c>
      <c r="F78" s="33" t="inlineStr">
        <is>
          <t>Ví ban đầu: topup = 0</t>
        </is>
      </c>
      <c r="G78" s="33" t="inlineStr">
        <is>
          <t>1. Từ 413 → Get More, mua thành công
2. Lặp lại thêm 4 lần</t>
        </is>
      </c>
      <c r="H78" s="33" t="inlineStr">
        <is>
          <t>1. Cả 5 giao dịch đều thành công, Apple không báo "already purchased"
2. topup_balance = 5</t>
        </is>
      </c>
      <c r="I78" s="34" t="inlineStr">
        <is>
          <t>PASS</t>
        </is>
      </c>
      <c r="J78" s="35" t="inlineStr">
        <is>
          <t>subscriber mua liên tiếp 2 lần: [true, true] · topup 1 → 3 (Consumable, không 'already purchased')</t>
        </is>
      </c>
      <c r="K78" s="35" t="inlineStr">
        <is>
          <t>KQ autotest 22/10 (TC cũ #70, lượt sub-test02_subBuyPullAndReadThreePlaces-163527)</t>
        </is>
      </c>
      <c r="L78" s="36" t="inlineStr">
        <is>
          <t>3 ảnh — mở thư mục</t>
        </is>
      </c>
    </row>
    <row r="79" ht="324.75" customHeight="1" s="25">
      <c r="A79" s="31" t="n">
        <v>71</v>
      </c>
      <c r="B79" s="37" t="n"/>
      <c r="C79" s="39" t="n"/>
      <c r="D79" s="32" t="inlineStr">
        <is>
          <t>Back từ màn topup (vào từ 481) → về màn feature, không quay lại 481</t>
        </is>
      </c>
      <c r="E79"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subscriber (tài khoản sandbox mua sub mới, chu kỳ bắt đầu hôm nay 2026-10-24)
5. Bắt đầu sau mốc reset 07:00 giờ VN, chưa gen lần nào trong ngày, không còn topup dư (quota = Q, topup = 0)
6. Gen thành công Q lần (dùng Enhance cho nhanh) để quota còn 0
7. Xác nhận trước khi test: 413 hiển thị "0"
8. Đang ở màn topup mở từ 481 trên màn i2i</t>
        </is>
      </c>
      <c r="F79" s="33" t="inlineStr">
        <is>
          <t>Ví ban đầu: quota = 0 · topup = 0</t>
        </is>
      </c>
      <c r="G79" s="33" t="inlineStr">
        <is>
          <t>1. Bấm back</t>
        </is>
      </c>
      <c r="H79" s="33" t="inlineStr">
        <is>
          <t>1. Về màn i2i, ảnh và style giữ nguyên
2. Dialog 481 không hiện lại
3. Số dư không đổi</t>
        </is>
      </c>
      <c r="I79" s="34" t="inlineStr">
        <is>
          <t>PASS</t>
        </is>
      </c>
      <c r="J79" s="35" t="inlineStr">
        <is>
          <t>back → Upload, ảnh còn=true · 481 hiện lại=false</t>
        </is>
      </c>
      <c r="K79" s="35" t="inlineStr">
        <is>
          <t>KQ autotest 22/10 (TC cũ #71, lượt sub-test11_exhausted481-174238)</t>
        </is>
      </c>
      <c r="L79" s="36" t="inlineStr">
        <is>
          <t>1 ảnh — mở thư mục</t>
        </is>
      </c>
    </row>
    <row r="80" ht="220.5" customHeight="1" s="25">
      <c r="A80" s="31" t="n">
        <v>72</v>
      </c>
      <c r="B80" s="37" t="n"/>
      <c r="C80" s="31" t="inlineStr">
        <is>
          <t>Edge Case</t>
        </is>
      </c>
      <c r="D80" s="32" t="inlineStr">
        <is>
          <t>Huỷ ở sheet thanh toán Apple</t>
        </is>
      </c>
      <c r="E80"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subscriber (tài khoản sandbox mua sub mới, chu kỳ bắt đầu hôm nay 2026-10-24)
5. Có kết nối internet ổn định
6. Đang ở màn topup</t>
        </is>
      </c>
      <c r="F80" s="33" t="inlineStr">
        <is>
          <t>N/A</t>
        </is>
      </c>
      <c r="G80" s="33" t="inlineStr">
        <is>
          <t>1. Tap Purchase
2. Tap Cancel trên sheet Apple</t>
        </is>
      </c>
      <c r="H80" s="33" t="inlineStr">
        <is>
          <t>1. Ở lại màn topup, không hiện thông báo lỗi
2. Số dư không đổi, không có giao dịch</t>
        </is>
      </c>
      <c r="I80" s="41" t="inlineStr">
        <is>
          <t>Chờ</t>
        </is>
      </c>
      <c r="J80" s="35" t="inlineStr"/>
      <c r="K80" s="35" t="inlineStr">
        <is>
          <t>Chờ tài nguyên: sandbox trên máy tự xác nhận mua → cần tài khoản sandbox khác (huỷ sheet/thẻ lỗi/Ask to Buy) hoặc StoreKit Configuration</t>
        </is>
      </c>
    </row>
    <row r="81" ht="195" customHeight="1" s="25">
      <c r="A81" s="31" t="n">
        <v>73</v>
      </c>
      <c r="B81" s="37" t="n"/>
      <c r="C81" s="37" t="n"/>
      <c r="D81" s="32" t="inlineStr">
        <is>
          <t>Thanh toán lỗi do mất mạng</t>
        </is>
      </c>
      <c r="E81"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subscriber (tài khoản sandbox mua sub mới, chu kỳ bắt đầu hôm nay 2026-10-24)
5. Đang ở màn topup</t>
        </is>
      </c>
      <c r="F81" s="33" t="inlineStr">
        <is>
          <t>N/A</t>
        </is>
      </c>
      <c r="G81" s="33" t="inlineStr">
        <is>
          <t>1. Tap Purchase
2. Bật Airplane Mode trước khi xác nhận thanh toán
3. Xác nhận</t>
        </is>
      </c>
      <c r="H81" s="33" t="inlineStr">
        <is>
          <t>1. Màn topup không đóng, hiện thông báo lỗi ngắn
2. Số dư không đổi, có thể thử lại</t>
        </is>
      </c>
      <c r="I81" s="34" t="inlineStr">
        <is>
          <t>PASS</t>
        </is>
      </c>
      <c r="J81" s="35" t="inlineStr">
        <is>
          <t>Airplane trước khi bấm Purchase: ở lại màn topup=true · thông báo='Purchase Failed' · số dư 1 → 1 (spec fallback ERR_MON_002)</t>
        </is>
      </c>
      <c r="K81" s="35" t="inlineStr">
        <is>
          <t>KQ autotest 22/10 (TC cũ #73, lượt sub-offline073-181614)</t>
        </is>
      </c>
      <c r="L81" s="36" t="inlineStr">
        <is>
          <t>1 ảnh — mở thư mục</t>
        </is>
      </c>
    </row>
    <row r="82" ht="259.5" customHeight="1" s="25">
      <c r="A82" s="31" t="n">
        <v>74</v>
      </c>
      <c r="B82" s="37" t="n"/>
      <c r="C82" s="37" t="n"/>
      <c r="D82" s="32" t="inlineStr">
        <is>
          <t>Thanh toán lỗi do thẻ bị từ chối</t>
        </is>
      </c>
      <c r="E82"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subscriber (tài khoản sandbox mua sub mới, chu kỳ bắt đầu hôm nay 2026-10-24)
5. Có kết nối internet ổn định
6. Sandbox account cấu hình lỗi thanh toán (StoreKit test: fail transaction)
7. Đang ở màn topup</t>
        </is>
      </c>
      <c r="F82" s="33" t="inlineStr">
        <is>
          <t>N/A</t>
        </is>
      </c>
      <c r="G82" s="33" t="inlineStr">
        <is>
          <t>1. Tap Purchase, xác nhận</t>
        </is>
      </c>
      <c r="H82" s="33" t="inlineStr">
        <is>
          <t>1. Màn topup không đóng, hiện thông báo lỗi
2. Số dư không đổi</t>
        </is>
      </c>
      <c r="I82" s="41" t="inlineStr">
        <is>
          <t>Chờ</t>
        </is>
      </c>
      <c r="J82" s="35" t="inlineStr"/>
      <c r="K82" s="35" t="inlineStr">
        <is>
          <t>Chờ tài nguyên: sandbox trên máy tự xác nhận mua → cần tài khoản sandbox khác (huỷ sheet/thẻ lỗi/Ask to Buy) hoặc StoreKit Configuration</t>
        </is>
      </c>
    </row>
    <row r="83" ht="246.75" customHeight="1" s="25">
      <c r="A83" s="31" t="n">
        <v>75</v>
      </c>
      <c r="B83" s="37" t="n"/>
      <c r="C83" s="37" t="n"/>
      <c r="D83" s="32" t="inlineStr">
        <is>
          <t>Thanh toán lỗi từ store (StoreKit error)</t>
        </is>
      </c>
      <c r="E83"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subscriber (tài khoản sandbox mua sub mới, chu kỳ bắt đầu hôm nay 2026-10-24)
5. Có kết nối internet ổn định
6. StoreKit config bật lỗi purchase
7. Đang ở màn topup</t>
        </is>
      </c>
      <c r="F83" s="33" t="inlineStr">
        <is>
          <t>N/A</t>
        </is>
      </c>
      <c r="G83" s="33" t="inlineStr">
        <is>
          <t>1. Tap Purchase</t>
        </is>
      </c>
      <c r="H83" s="33" t="inlineStr">
        <is>
          <t>1. Màn topup không đóng, hiện thông báo lỗi
2. Số dư không đổi, nút Purchase bấm lại được</t>
        </is>
      </c>
      <c r="I83" s="41" t="inlineStr">
        <is>
          <t>Chờ</t>
        </is>
      </c>
      <c r="J83" s="35" t="inlineStr"/>
      <c r="K83" s="35" t="inlineStr">
        <is>
          <t>Chờ tài nguyên: sandbox trên máy tự xác nhận mua → cần tài khoản sandbox khác (huỷ sheet/thẻ lỗi/Ask to Buy) hoặc StoreKit Configuration</t>
        </is>
      </c>
    </row>
    <row r="84" ht="273" customHeight="1" s="25">
      <c r="A84" s="31" t="n">
        <v>76</v>
      </c>
      <c r="B84" s="37" t="n"/>
      <c r="C84" s="37" t="n"/>
      <c r="D84" s="32" t="inlineStr">
        <is>
          <t>Tin báo RevenueCat về chậm — app gọi confirm, BE hỏi thẳng RevenueCat  [Cần BE hỗ trợ]</t>
        </is>
      </c>
      <c r="E84"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subscriber (tài khoản sandbox mua sub mới, chu kỳ bắt đầu hôm nay 2026-10-24)
5. Ví topup = 0 — màn topup hiển thị "0 top-up creations left"
6. Có kết nối internet ổn định
7. [Cần BE/Infra giả lập] Chặn/delay webhook RevenueCat → BE ở môi trường test</t>
        </is>
      </c>
      <c r="F84" s="33" t="inlineStr">
        <is>
          <t>Ví ban đầu: topup = 0</t>
        </is>
      </c>
      <c r="G84" s="33" t="inlineStr">
        <is>
          <t>1. Mua topup thành công
2. Quan sát 413 ngay sau 482</t>
        </is>
      </c>
      <c r="H84" s="33" t="inlineStr">
        <is>
          <t>1. 413 hiển thị topup +1 ngay (không chờ webhook)</t>
        </is>
      </c>
      <c r="I84" s="41" t="inlineStr">
        <is>
          <t>Chờ</t>
        </is>
      </c>
      <c r="J84" s="35" t="inlineStr"/>
      <c r="K84" s="35" t="inlineStr">
        <is>
          <t>Chờ BE/Infra: cần giả lập phía server (vendor lỗi/timeout, webhook, gọi API trực tiếp, proxy) — theo luật không tự giả lỗi server</t>
        </is>
      </c>
    </row>
    <row r="85" ht="259.5" customHeight="1" s="25">
      <c r="A85" s="31" t="n">
        <v>77</v>
      </c>
      <c r="B85" s="37" t="n"/>
      <c r="C85" s="37" t="n"/>
      <c r="D85" s="32" t="inlineStr">
        <is>
          <t>Webhook đến sau / đến 2 lần — không cộng trùng  [Cần BE hỗ trợ]</t>
        </is>
      </c>
      <c r="E85"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subscriber (tài khoản sandbox mua sub mới, chu kỳ bắt đầu hôm nay 2026-10-24)
5. Ví topup = 0 — màn topup hiển thị "0 top-up creations left"
6. Có kết nối internet ổn định
7. [Cần BE/Infra giả lập] Webhook đang bị delay</t>
        </is>
      </c>
      <c r="F85" s="33" t="inlineStr">
        <is>
          <t>Ví ban đầu: topup = 0</t>
        </is>
      </c>
      <c r="G85" s="33" t="inlineStr">
        <is>
          <t>1. Mua topup thành công (BE đã cộng qua confirm)
2. Thả webhook về BE
3. Replay webhook cùng transaction id lần nữa</t>
        </is>
      </c>
      <c r="H85" s="33" t="inlineStr">
        <is>
          <t>1. topup_balance = 1 (không phải 2 hay 3)</t>
        </is>
      </c>
      <c r="I85" s="41" t="inlineStr">
        <is>
          <t>Chờ</t>
        </is>
      </c>
      <c r="J85" s="35" t="inlineStr"/>
      <c r="K85" s="35" t="inlineStr">
        <is>
          <t>Chờ BE/Infra: cần giả lập phía server (vendor lỗi/timeout, webhook, gọi API trực tiếp, proxy) — theo luật không tự giả lỗi server</t>
        </is>
      </c>
    </row>
    <row r="86" ht="351" customHeight="1" s="25">
      <c r="A86" s="31" t="n">
        <v>78</v>
      </c>
      <c r="B86" s="37" t="n"/>
      <c r="C86" s="37" t="n"/>
      <c r="D86" s="32" t="inlineStr">
        <is>
          <t>Mua xong, app bị kill trước khi gen chạy tiếp</t>
        </is>
      </c>
      <c r="E86"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subscriber (tài khoản sandbox mua sub mới, chu kỳ bắt đầu hôm nay 2026-10-24)
5. Bắt đầu sau mốc reset 07:00 giờ VN, chưa gen lần nào trong ngày, không còn topup dư (quota = Q, topup = 0)
6. Gen thành công Q lần (dùng Enhance cho nhanh) để quota còn 0
7. Xác nhận trước khi test: 413 hiển thị "0"
8. Có kết nối internet ổn định
9. Đang ở màn Upload của feature i2i, đã chọn ảnh và style</t>
        </is>
      </c>
      <c r="F86" s="33" t="inlineStr">
        <is>
          <t>Ví ban đầu: quota = 0 · topup = 0</t>
        </is>
      </c>
      <c r="G86" s="33" t="inlineStr">
        <is>
          <t>1. Bấm Generate → 481 → Mua thêm → thanh toán thành công
2. Kill app ngay khi thấy 482
3. Mở lại app, vào 413</t>
        </is>
      </c>
      <c r="H86" s="33" t="inlineStr">
        <is>
          <t>1. 413 hiển thị "1" (lượt đã mua còn nguyên)
2. Flow gen dở không được khôi phục, user phải chọn lại ảnh</t>
        </is>
      </c>
      <c r="I86" s="42" t="inlineStr">
        <is>
          <t>Lệch spec</t>
        </is>
      </c>
      <c r="J86" s="35" t="inlineStr">
        <is>
          <t>KQ: kill sau mua=true · 413 mở lại=0 · flow gen dở được khôi phục=false</t>
        </is>
      </c>
      <c r="K86" s="35" t="inlineStr">
        <is>
          <t>Autotest vòng 2 24/10 · lượt r2fin-test09_buyThenKillBeforeResume-123504 · CHẤM TAY: Chấm tay 25/10 12:37 (gen qua Enhance): mua từ 481 xong app CHẠY GEN TIẾP NGAY (ảnh lúc kill: màn Generating 15%) — không có màn 482 để kill 'trước khi gen chạy tiếp' như tiền đề TC (cùng gốc N099/N105: app không có màn 482). Kill lúc đang gen → lượt vừa mua đang bị giữ → mở lại 413=0. Lượt bị giữ có được hoàn sau 10′ không = nhóm N050 (Pending).</t>
        </is>
      </c>
      <c r="L86" s="36" t="inlineStr">
        <is>
          <t>2 ảnh — mở thư mục</t>
        </is>
      </c>
    </row>
    <row r="87" ht="207.75" customHeight="1" s="25">
      <c r="A87" s="31" t="n">
        <v>79</v>
      </c>
      <c r="B87" s="37" t="n"/>
      <c r="C87" s="37" t="n"/>
      <c r="D87" s="32" t="inlineStr">
        <is>
          <t>Mất mạng sau khi Apple trừ tiền, trước khi app gọi confirm</t>
        </is>
      </c>
      <c r="E87"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subscriber (tài khoản sandbox mua sub mới, chu kỳ bắt đầu hôm nay 2026-10-24)
5. Ví topup = 0 — màn topup hiển thị "0 top-up creations left"</t>
        </is>
      </c>
      <c r="F87" s="33" t="inlineStr">
        <is>
          <t>Ví ban đầu: topup = 0</t>
        </is>
      </c>
      <c r="G87" s="33" t="inlineStr">
        <is>
          <t>1. Tap Purchase, xác nhận Apple
2. Ngay khi Apple báo thành công bật Airplane Mode
3. Chờ 2 phút rồi tắt Airplane Mode, vào 413</t>
        </is>
      </c>
      <c r="H87" s="33" t="inlineStr">
        <is>
          <t>1. 413 hiển thị topup = 1 (webhook / job đối soát đã cộng)</t>
        </is>
      </c>
      <c r="I87" s="41" t="inlineStr">
        <is>
          <t>Chờ</t>
        </is>
      </c>
      <c r="J87" s="35" t="inlineStr"/>
      <c r="K87" s="35" t="inlineStr">
        <is>
          <t>Chờ tài nguyên: sandbox trên máy tự xác nhận mua → cần tài khoản sandbox khác (huỷ sheet/thẻ lỗi/Ask to Buy) hoặc StoreKit Configuration</t>
        </is>
      </c>
    </row>
    <row r="88" ht="220.5" customHeight="1" s="25">
      <c r="A88" s="31" t="n">
        <v>81</v>
      </c>
      <c r="B88" s="37" t="n"/>
      <c r="C88" s="37" t="n"/>
      <c r="D88" s="32" t="inlineStr">
        <is>
          <t>Tap Purchase liên tục nhanh</t>
        </is>
      </c>
      <c r="E88"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subscriber (tài khoản sandbox mua sub mới, chu kỳ bắt đầu hôm nay 2026-10-24)
5. Có kết nối internet ổn định
6. Đang ở màn topup</t>
        </is>
      </c>
      <c r="F88" s="33" t="inlineStr">
        <is>
          <t>N/A</t>
        </is>
      </c>
      <c r="G88" s="33" t="inlineStr">
        <is>
          <t>1. Tap Purchase 3 lần liên tiếp thật nhanh</t>
        </is>
      </c>
      <c r="H88" s="33" t="inlineStr">
        <is>
          <t>1. Chỉ 1 sheet thanh toán Apple xuất hiện
2. Sau khi thanh toán chỉ cộng 1 lượt</t>
        </is>
      </c>
      <c r="I88" s="34" t="inlineStr">
        <is>
          <t>PASS</t>
        </is>
      </c>
      <c r="J88" s="35" t="inlineStr">
        <is>
          <t>bấm Purchase 3 lần nhanh: 413 0 → 1 (kỳ vọng +1) · popup xác nhận thứ 2=false · xong=true · popup hệ thống OK=true · sau mua: My Balance · Today's available creations · 1 · Creations · Get More · Back · Get More</t>
        </is>
      </c>
      <c r="K88" s="35" t="inlineStr">
        <is>
          <t>KQ autotest 22/10 (TC cũ #81, lượt buy-rerun081-181134)</t>
        </is>
      </c>
      <c r="L88" s="36" t="inlineStr">
        <is>
          <t>1 ảnh — mở thư mục</t>
        </is>
      </c>
    </row>
    <row r="89" ht="181.5" customFormat="1" customHeight="1" s="44">
      <c r="A89" s="45" t="n">
        <v>82</v>
      </c>
      <c r="B89" s="37" t="n"/>
      <c r="C89" s="37" t="n"/>
      <c r="D89" s="46" t="inlineStr">
        <is>
          <t>Grandfather mua topup — mua bình thường, lượt nằm nguyên trong ví</t>
        </is>
      </c>
      <c r="E89" s="47" t="inlineStr">
        <is>
          <t>1. RC (Firebase): enable_daily_quota = true · enable_topup = true · topup_offer_max_per_day = 1
2. CMS: số lượt/ngày = Q (PO cấu hình trên CMS, mặc định 20; mọi số lượt trong TC tính theo Q)
3. RC: quota_grandfather_until = 2026-10-25T00:00:00Z (= hôm nay + 1, ngày tương lai → app chạy cơ chế cũ) — user là subscriber, chu kỳ bắt đầu hôm nay (trước mốc) → grandfather
4. Có kết nối internet ổn định</t>
        </is>
      </c>
      <c r="F89" s="47" t="inlineStr">
        <is>
          <t>N/A</t>
        </is>
      </c>
      <c r="G89" s="47" t="inlineStr">
        <is>
          <t>1. Gen thành công 3 lần</t>
        </is>
      </c>
      <c r="H89" s="47" t="inlineStr">
        <is>
          <t>1. Không hiện số lượt quota trên badge
2. Gen unlimited</t>
        </is>
      </c>
      <c r="I89" s="34" t="inlineStr">
        <is>
          <t>PASS</t>
        </is>
      </c>
      <c r="J89" s="35" t="inlineStr">
        <is>
          <t>KQ: badge=ẩn · gen không giới hạn · mua topup chủ động=không có đường (My Balance ẩn) · 21/21 lượt result, 481=0 · ví (Debug quota.total/topup) 15/0 → sau thử mua 15/0 → sau gen 15/0 · tier=unlimitedV1 · isUnlimitedGen=true</t>
        </is>
      </c>
      <c r="K89" s="35" t="inlineStr">
        <is>
          <t>Autotest vòng 2 24/10 · lượt r2fin-test06_grandfatherGenBeyondQ-112506</t>
        </is>
      </c>
      <c r="L89" s="36" t="inlineStr">
        <is>
          <t>1 ảnh — mở thư mục</t>
        </is>
      </c>
    </row>
    <row r="90" ht="246.75" customHeight="1" s="25">
      <c r="A90" s="31" t="n">
        <v>83</v>
      </c>
      <c r="B90" s="39" t="n"/>
      <c r="C90" s="39" t="n"/>
      <c r="D90" s="32" t="inlineStr">
        <is>
          <t>Grandfather hết chu kỳ, chuyển quota — topup đã mua được tiêu trước</t>
        </is>
      </c>
      <c r="E90"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grandfather có topup_balance = 1
5. Chu kỳ grandfather vừa gia hạn sau mốc (đã áp quota)
6. Có kết nối internet ổn định
7. Đang ở màn Upload của feature i2i, đã chọn ảnh và style</t>
        </is>
      </c>
      <c r="F90" s="33" t="inlineStr">
        <is>
          <t>N/A</t>
        </is>
      </c>
      <c r="G90" s="33" t="inlineStr">
        <is>
          <t>1. Bấm Generate
2. Chờ thành công</t>
        </is>
      </c>
      <c r="H90" s="33" t="inlineStr">
        <is>
          <t>1. topup_balance = 0, quota_balance = Q</t>
        </is>
      </c>
      <c r="I90" s="41" t="inlineStr">
        <is>
          <t>Chờ</t>
        </is>
      </c>
      <c r="J90" s="35" t="inlineStr"/>
      <c r="K90" s="35" t="inlineStr">
        <is>
          <t>Chưa chạy: cần sub grandfather gia hạn qua mốc (mốc RC nằm giữa 2 lần gia hạn sandbox) — dựng được bằng RC ép trong code, chưa làm</t>
        </is>
      </c>
    </row>
    <row r="91" ht="15.75" customHeight="1" s="25">
      <c r="A91" s="30" t="inlineStr">
        <is>
          <t>▌ 7. Luồng Free user (AC3)</t>
        </is>
      </c>
    </row>
    <row r="92" ht="246.75" customHeight="1" s="25">
      <c r="A92" s="31" t="n">
        <v>84</v>
      </c>
      <c r="B92" s="31" t="inlineStr">
        <is>
          <t>Luồng Free user (AC3)</t>
        </is>
      </c>
      <c r="C92" s="32" t="inlineStr">
        <is>
          <t>UI</t>
        </is>
      </c>
      <c r="D92" s="32" t="inlineStr">
        <is>
          <t>Màn topup — lời chào free user</t>
        </is>
      </c>
      <c r="E92"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free user (chưa mua sub, không có ví quota)
5. topup_balance = 0, hôm nay chưa hiện offer
6. Có kết nối internet ổn định
7. Đang ở màn Upload của feature i2i, đã chọn ảnh và style</t>
        </is>
      </c>
      <c r="F92" s="33" t="inlineStr">
        <is>
          <t>N/A</t>
        </is>
      </c>
      <c r="G92" s="33" t="inlineStr">
        <is>
          <t>1. Bấm Generate → đóng paywall feature → đóng Last-chance
2. Quan sát màn topup</t>
        </is>
      </c>
      <c r="H92" s="33" t="inlineStr">
        <is>
          <t xml:space="preserve">1. Tiêu đề "Chỉ muốn thử lần này?", nội dung "Mua lẻ 1 lần tạo."
2. CTA "$0.99 — Tạo 1 lần" / "Không, cảm ơn"
</t>
        </is>
      </c>
      <c r="I92" s="42" t="inlineStr">
        <is>
          <t>Lệch spec</t>
        </is>
      </c>
      <c r="J92" s="35" t="inlineStr">
        <is>
          <t>Màn topup chào free user (RC paywall): 'Still not ready to subscribe?' · 'Includes 1 AI creation' · 'One-time purchase only' · 'No subscription or auto-renewal' · 'Instant access after purchase' · gói '0.99$ one-time purchase' · CTA 'Get 1 creation' · nút X (không có 'Không, cảm ơn'). Spec: 'Chỉ muốn thử lần này?' / 'Mua lẻ 1 lần tạo.' / '$0.99 — Tạo 1 lần' / 'Không, cảm ơn'. Giá hiển thị 0.99$ trong khi màn topup native &amp; paywall sub hiển thị VND.</t>
        </is>
      </c>
      <c r="K92" s="35" t="inlineStr">
        <is>
          <t>KQ autotest 22/10 (TC cũ #84, lượt free-test01_freeChainFirstOfDay-153238) · chấm lại theo Expected mới: Copy app khác spec (EN "Still not ready to subscribe?" / "Get 1 creation").</t>
        </is>
      </c>
      <c r="L92" s="36" t="inlineStr">
        <is>
          <t>3 ảnh — mở thư mục</t>
        </is>
      </c>
    </row>
    <row r="93" ht="246.75" customHeight="1" s="25">
      <c r="A93" s="31" t="n">
        <v>85</v>
      </c>
      <c r="B93" s="37" t="n"/>
      <c r="C93" s="31" t="inlineStr">
        <is>
          <t>Logic</t>
        </is>
      </c>
      <c r="D93" s="32" t="inlineStr">
        <is>
          <t>Thứ tự chuỗi: Paywall feature → Last-chance → màn topup  [Cần BE hỗ trợ]</t>
        </is>
      </c>
      <c r="E93"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free user (chưa mua sub, không có ví quota)
5. topup_balance = 0, hôm nay chưa hiện offer
6. Có kết nối internet ổn định
7. Đang ở màn Upload của feature i2i, đã chọn ảnh và style</t>
        </is>
      </c>
      <c r="F93" s="33" t="inlineStr">
        <is>
          <t>N/A</t>
        </is>
      </c>
      <c r="G93" s="33" t="inlineStr">
        <is>
          <t>1. Bấm Generate
2. Đóng paywall feature
3. Đóng Last-chance</t>
        </is>
      </c>
      <c r="H93" s="33" t="inlineStr">
        <is>
          <t>1. Lần lượt hiện: paywall feature → Last-chance (offering 202_5.99.14.99) → màn topup (offering 216_0.99)
2. BE ghi nhận đã hiện offer hôm nay</t>
        </is>
      </c>
      <c r="I93" s="34" t="inlineStr">
        <is>
          <t>PASS</t>
        </is>
      </c>
      <c r="J93" s="35" t="inlineStr">
        <is>
          <t>Chuỗi: paywall feature i2i ('20 AI creations every day…' Weekly/Yearly) → Last-chance ('Limited Offer: 50% OFF Today', 199.000đ/week) → màn topup ('Still not ready to subscribe?'). Phần 'BE ghi nhận đã hiện offer': app lưu local UserDefaults (CreditQuotaBalanceProvider.markTopupOfferShownToday), BE không kiểm được.</t>
        </is>
      </c>
      <c r="K93" s="35" t="inlineStr">
        <is>
          <t>KQ autotest 22/10 (TC cũ #85, lượt free-test01_freeChainFirstOfDay-153238)</t>
        </is>
      </c>
      <c r="L93" s="36" t="inlineStr">
        <is>
          <t>6 ảnh — mở thư mục</t>
        </is>
      </c>
    </row>
    <row r="94" ht="234" customHeight="1" s="25">
      <c r="A94" s="31" t="n">
        <v>86</v>
      </c>
      <c r="B94" s="37" t="n"/>
      <c r="C94" s="37" t="n"/>
      <c r="D94" s="32" t="inlineStr">
        <is>
          <t>Last-chance đúng mã theo feature</t>
        </is>
      </c>
      <c r="E94"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free user (chưa mua sub, không có ví quota)
5. topup_balance = 0
6. Có kết nối internet ổn định
7. Bật debug log</t>
        </is>
      </c>
      <c r="F94" s="33" t="inlineStr">
        <is>
          <t>i2i→222
i2v→223
restore→224
remove_object→225
motion→226
seedance→232
tryon→233
looks→234
video→235</t>
        </is>
      </c>
      <c r="G94" s="33" t="inlineStr">
        <is>
          <t>1. Mở feature theo Test data, bấm Generate
2. Đóng paywall feature</t>
        </is>
      </c>
      <c r="H94" s="33" t="inlineStr">
        <is>
          <t>1. Last-chance mở với đúng paywall code trong Test data</t>
        </is>
      </c>
      <c r="I94" s="34" t="inlineStr">
        <is>
          <t>PASS</t>
        </is>
      </c>
      <c r="J94" s="35" t="inlineStr">
        <is>
          <t>i2i: đóng paywall feature (iap_view source=iap_206_i2i_paywall, offering 206_9.99_39.99) → Last-chance iap_view source=iap_222_lastchance_i2i_paywall, offering 202_5.99_14.99 — đúng mã 222. Feature khác (i2v 223, restore 224, remove 225, motion 226, seedance 232, tryon 233, looks 234, video 235): chưa chạy.</t>
        </is>
      </c>
      <c r="K94" s="35" t="inlineStr">
        <is>
          <t>KQ autotest 22/10 (TC cũ #86, lượt buy-rc163-162339)</t>
        </is>
      </c>
      <c r="L94" s="36" t="inlineStr">
        <is>
          <t>3 ảnh — mở thư mục</t>
        </is>
      </c>
    </row>
    <row r="95" ht="207.75" customHeight="1" s="25">
      <c r="A95" s="31" t="n">
        <v>87</v>
      </c>
      <c r="B95" s="37" t="n"/>
      <c r="C95" s="37" t="n"/>
      <c r="D95" s="32" t="inlineStr">
        <is>
          <t>Enhance — chuỗi paywall của free user</t>
        </is>
      </c>
      <c r="E95"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free user (chưa mua sub, không có ví quota)
5. topup_balance = 0
6. Có kết nối internet ổn định</t>
        </is>
      </c>
      <c r="F95" s="33" t="inlineStr">
        <is>
          <t>N/A</t>
        </is>
      </c>
      <c r="G95" s="33" t="inlineStr">
        <is>
          <t>1. Mở Enhance, bấm Generate
2. Đóng paywall feature</t>
        </is>
      </c>
      <c r="H95" s="33" t="inlineStr">
        <is>
          <t>1. có hiện Last-chance rồi mới đến màn topup 216</t>
        </is>
      </c>
      <c r="I95" s="43" t="inlineStr">
        <is>
          <t>Cần xem</t>
        </is>
      </c>
      <c r="J95" s="35" t="inlineStr">
        <is>
          <t>KQ: chuỗi Enhance: paywall: App Store · Editor's Choice · Meet Your Best Version  · AI Face Retouching &amp; Enhancement · 500+ Beauty Filters &amp; Effects · HD Export Without Watermark · 20 AI creations every day, refreshed automatically · Weekly → khác: Scanning Photo · Analyzing your photo · Our AI is detecting areas that can be enhanced · Face detection · Analyzing lighting conditions · Detecting imperfections · Back → sau phân tích: khác · Analyzing Photo · AI Analysis Complete · Suggested Enhancements · 5 Issues · Enhance Brightness · Photo appears underexposed</t>
        </is>
      </c>
      <c r="K95" s="35" t="inlineStr">
        <is>
          <t>Autotest vòng 2 24/10 · lượt r2fin-n087-103109 · CHẤM TAY: Chạy lại 25/10 10:31 (free 0/0): Enhance → chọn ảnh → 'Analyze Photo' → paywall gói → đóng → app CHẠY TIẾP phân tích (không Last-chance, không màn topup 216) → màn 'AI Analysis Complete / Suggested Enhancements' với nút 'Apply All Suggestions'. Bước tạo ảnh thật là Apply — chưa bấm (test chưa có nhãn này) nên chưa biết chuỗi bán ở bước Apply. Theo Expected (đóng paywall → Last-chance → topup) thì ở bước Analyze: KHÔNG có Last-chance. Cần chạy bổ sung bấm Apply khi máy free.</t>
        </is>
      </c>
      <c r="L95" s="36" t="inlineStr">
        <is>
          <t>6 ảnh — mở thư mục</t>
        </is>
      </c>
    </row>
    <row r="96" ht="220.5" customHeight="1" s="25">
      <c r="A96" s="31" t="n">
        <v>88</v>
      </c>
      <c r="B96" s="37" t="n"/>
      <c r="C96" s="37" t="n"/>
      <c r="D96" s="32" t="inlineStr">
        <is>
          <t>Free user còn topup — vẫn chào gói, BỎ QUA màn topup, gen trừ topup</t>
        </is>
      </c>
      <c r="E96"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free user (chưa mua sub, không có ví quota)
5. Có kết nối internet ổn định
6. Đang ở màn Upload của feature i2i, đã chọn ảnh và style</t>
        </is>
      </c>
      <c r="F96" s="33" t="inlineStr">
        <is>
          <t>topup=1 Lặp cho nguồn: vừa mua từ 413 (pull) 1 phút trước
mua từ màn topup hôm trước
được hoàn do gen fail</t>
        </is>
      </c>
      <c r="G96" s="33" t="inlineStr">
        <is>
          <t>1. Tạo 1 lượt topup theo nguồn trong Test data
2. Bấm Generate
3. Đóng paywall feature
4. Đóng Last-chance</t>
        </is>
      </c>
      <c r="H96" s="33" t="inlineStr">
        <is>
          <t>1. Paywall feature hiển thị
2. Last-chance hiển thị
3. Màn topup KHÔNG hiển thị
4. Gen chạy, thành công → topup_balance giảm 1</t>
        </is>
      </c>
      <c r="I96" s="34" t="inlineStr">
        <is>
          <t>PASS</t>
        </is>
      </c>
      <c r="J96" s="35" t="inlineStr">
        <is>
          <t>chuỗi: paywall → lastchance → generating · gen xong=true · topup 1 → 0 (nguồn: mua pull vừa xong)</t>
        </is>
      </c>
      <c r="K96" s="35" t="inlineStr">
        <is>
          <t>KQ autotest 22/10 (TC cũ #88, lượt buy-rerun088b-160210)</t>
        </is>
      </c>
      <c r="L96" s="36" t="inlineStr">
        <is>
          <t>6 ảnh — mở thư mục</t>
        </is>
      </c>
    </row>
    <row r="97" ht="246.75" customHeight="1" s="25">
      <c r="A97" s="31" t="n">
        <v>89</v>
      </c>
      <c r="B97" s="37" t="n"/>
      <c r="C97" s="37" t="n"/>
      <c r="D97" s="32" t="inlineStr">
        <is>
          <t>Mua từ màn topup → 482 → Tiếp tục tạo</t>
        </is>
      </c>
      <c r="E97"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free user (chưa mua sub, không có ví quota)
5. topup_balance = 0, chưa từng mua topup
6. Có kết nối internet ổn định
7. Đang ở màn Upload của feature i2i, đã chọn ảnh và style</t>
        </is>
      </c>
      <c r="F97" s="33" t="inlineStr">
        <is>
          <t>N/A</t>
        </is>
      </c>
      <c r="G97" s="33" t="inlineStr">
        <is>
          <t>1. Bấm Generate → đóng paywall → đóng Last-chance
2. Tap "$0.99 — Tạo 1 lần", thanh toán thành công
3. Tap "Tiếp tục tạo" ở 482</t>
        </is>
      </c>
      <c r="H97" s="33" t="inlineStr">
        <is>
          <t>1. 482 hiển thị copy N = 1
2. Gen i2i chạy tiếp với đúng ảnh/style
3. Thành công → topup_balance = 0</t>
        </is>
      </c>
      <c r="I97" s="38" t="inlineStr">
        <is>
          <t>FAIL</t>
        </is>
      </c>
      <c r="J97" s="35" t="inlineStr">
        <is>
          <t>482 sau mua offer: không có màn 482 (chỉ popup hệ thống) · gen i2i tự chạy tiếp=true · topup sau=0</t>
        </is>
      </c>
      <c r="K97" s="35" t="inlineStr">
        <is>
          <t>KQ autotest 22/10 (TC cũ #89, lượt buy-rc163-162339)</t>
        </is>
      </c>
      <c r="L97" s="36" t="inlineStr">
        <is>
          <t>2 ảnh — mở thư mục</t>
        </is>
      </c>
    </row>
    <row r="98" ht="246.75" customHeight="1" s="25">
      <c r="A98" s="31" t="n">
        <v>90</v>
      </c>
      <c r="B98" s="37" t="n"/>
      <c r="C98" s="39" t="n"/>
      <c r="D98" s="32" t="inlineStr">
        <is>
          <t>"Không, cảm ơn" — về màn đang đứng, tính là đã hiện hôm nay  [Cần BE hỗ trợ]</t>
        </is>
      </c>
      <c r="E98"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free user (chưa mua sub, không có ví quota)
5. topup_balance = 0, hôm nay chưa hiện offer
6. Có kết nối internet ổn định
7. Đang ở màn Upload của feature i2i, đã chọn ảnh và style</t>
        </is>
      </c>
      <c r="F98" s="33" t="inlineStr">
        <is>
          <t>N/A</t>
        </is>
      </c>
      <c r="G98" s="33" t="inlineStr">
        <is>
          <t>1. Bấm Generate → đóng paywall → đóng Last-chance
2. Tap "Không, cảm ơn"</t>
        </is>
      </c>
      <c r="H98" s="33" t="inlineStr">
        <is>
          <t>1. Về màn i2i, ảnh/style giữ nguyên
2. Không có request gen
3. BE ghi nhận đã hiện offer hôm nay</t>
        </is>
      </c>
      <c r="I98" s="34" t="inlineStr">
        <is>
          <t>PASS</t>
        </is>
      </c>
      <c r="J98" s="35" t="inlineStr">
        <is>
          <t>Đóng màn topup (nút X) → về Upload i2i, ảnh/style giữ, không gen. 'Tính là đã hiện hôm nay' do app đếm local (bộ đếm UserDefaults theo ngày máy) — BE không ghi.</t>
        </is>
      </c>
      <c r="K98" s="35" t="inlineStr">
        <is>
          <t>KQ autotest 22/10 (TC cũ #90, lượt free-test01_freeChainFirstOfDay-153238)</t>
        </is>
      </c>
      <c r="L98" s="36" t="inlineStr">
        <is>
          <t>4 ảnh — mở thư mục</t>
        </is>
      </c>
    </row>
    <row r="99" ht="273" customHeight="1" s="25">
      <c r="A99" s="31" t="n">
        <v>91</v>
      </c>
      <c r="B99" s="37" t="n"/>
      <c r="C99" s="31" t="inlineStr">
        <is>
          <t>Edge Case</t>
        </is>
      </c>
      <c r="D99" s="32" t="inlineStr">
        <is>
          <t>Hôm nay đã hiện màn topup — lần sau không chào nữa, không gen</t>
        </is>
      </c>
      <c r="E99"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free user (chưa mua sub, không có ví quota)
5. topup_balance = 0
6. Hôm nay đã hiện màn topup 1 lần
7. Có kết nối internet ổn định
8. Đang ở màn Upload của feature i2i, đã chọn ảnh và style</t>
        </is>
      </c>
      <c r="F99" s="33" t="inlineStr">
        <is>
          <t>N/A</t>
        </is>
      </c>
      <c r="G99" s="33" t="inlineStr">
        <is>
          <t>1. Bấm Generate → đóng paywall → đóng Last-chance</t>
        </is>
      </c>
      <c r="H99" s="33" t="inlineStr">
        <is>
          <t>1. Màn topup KHÔNG hiển thị
2. Không gen, quay về màn i2i với ảnh/style giữ nguyên</t>
        </is>
      </c>
      <c r="I99" s="34" t="inlineStr">
        <is>
          <t>PASS</t>
        </is>
      </c>
      <c r="J99" s="35" t="inlineStr">
        <is>
          <t>RC từ file topup_offer_max_per_day=1 (offer đã chào trong ngày): 2 lần Generate liên tiếp → paywall → Last-chance → về Upload, KHÔNG chào topup, không gen, ảnh giữ nguyên; không có thông báo cho user (spec mơ hồ).</t>
        </is>
      </c>
      <c r="K99" s="35" t="inlineStr">
        <is>
          <t>KQ autotest 22/10 (TC cũ #91, lượt free-rc091b-162731)</t>
        </is>
      </c>
      <c r="L99" s="36" t="inlineStr">
        <is>
          <t>6 ảnh — mở thư mục</t>
        </is>
      </c>
    </row>
    <row r="100" ht="220.5" customHeight="1" s="25">
      <c r="A100" s="31" t="n">
        <v>92</v>
      </c>
      <c r="B100" s="37" t="n"/>
      <c r="C100" s="37" t="n"/>
      <c r="D100" s="32" t="inlineStr">
        <is>
          <t>Mua pull (413) không tính là đã hiện offer hôm nay</t>
        </is>
      </c>
      <c r="E100"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free user (chưa mua sub, không có ví quota)
5. topup_balance = 0, hôm nay chưa hiện offer
6. Có kết nối internet ổn định</t>
        </is>
      </c>
      <c r="F100" s="33" t="inlineStr">
        <is>
          <t>N/A</t>
        </is>
      </c>
      <c r="G100" s="33" t="inlineStr">
        <is>
          <t>1. Setting → My Balance → Get More → mua 1 lượt
2. Gen thành công 1 lần (qua chuỗi paywall) để topup về 0
3. Bấm Generate lần nữa → đóng paywall → đóng Last-chance</t>
        </is>
      </c>
      <c r="H100" s="33" t="inlineStr">
        <is>
          <t>1. Màn topup hiển thị (offer chưa bị tính bởi lần mua pull)</t>
        </is>
      </c>
      <c r="I100" s="34" t="inlineStr">
        <is>
          <t>PASS</t>
        </is>
      </c>
      <c r="J100" s="35" t="inlineStr">
        <is>
          <t>đã mua pull hôm nay + dùng hết → bấm Generate: paywall → lastchance → topup · màn topup offer hiện=true</t>
        </is>
      </c>
      <c r="K100" s="35" t="inlineStr">
        <is>
          <t>KQ autotest 22/10 (TC cũ #92, lượt buy-rc163-162339)</t>
        </is>
      </c>
      <c r="L100" s="36" t="inlineStr">
        <is>
          <t>3 ảnh — mở thư mục</t>
        </is>
      </c>
    </row>
    <row r="101" ht="246.75" customHeight="1" s="25">
      <c r="A101" s="31" t="n">
        <v>93</v>
      </c>
      <c r="B101" s="37" t="n"/>
      <c r="C101" s="37" t="n"/>
      <c r="D101" s="32" t="inlineStr">
        <is>
          <t>Kill app khi đang ở màn topup offer</t>
        </is>
      </c>
      <c r="E101"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free user (chưa mua sub, không có ví quota)
5. topup_balance = 0, hôm nay chưa hiện offer
6. Có kết nối internet ổn định
7. Đang ở màn topup offer</t>
        </is>
      </c>
      <c r="F101" s="33" t="inlineStr">
        <is>
          <t>N/A</t>
        </is>
      </c>
      <c r="G101" s="33" t="inlineStr">
        <is>
          <t>1. Kill app
2. Mở lại, bấm Generate → đóng paywall → đóng Last-chance</t>
        </is>
      </c>
      <c r="H101" s="33" t="inlineStr">
        <is>
          <t xml:space="preserve">1. Hiện paywall topup </t>
        </is>
      </c>
      <c r="I101" s="34" t="inlineStr">
        <is>
          <t>PASS</t>
        </is>
      </c>
      <c r="J101" s="35" t="inlineStr">
        <is>
          <t>KQ: lần 1: paywall: App Store · Editor's Choice · Meet Your Best Version  · AI Face Retouching &amp; Enhancement · 500+ Beauty Filters &amp; Effects · HD Export Without Watermark · 20 AI creations every day, refreshed automatically · Weekly → lastchance: 🎉 Limited Offer: 50% OFF Today · Generate unlimited hairstyles with AI · Cancel anytime. · Close · Now only 199.000đ/week · Claim limited time offer · Restore  · Terms → topup: App Store · Editor's Choice · Still not ready to subscribe? · Includes 1 AI creation · One-time purchase only · No subscription or auto-renewal · Instant access after purchase · 0.99$ · kill app · mở lại: paywall: App Store · Editor's Choice · Meet Your Best Version  · AI Face Retouching &amp; Enhancement · 500+ Beauty Filters &amp; Effects · HD Export Without Watermark · 20 AI creations every day, refreshed automatically · Weekly → lastchance: 🎉 Limited Offer: 50% OFF Today · Generate unlimited hairstyles with AI · Cancel anytime. · Close · Now only 199.000đ/week · Claim limited time offer · Restore  · Terms → topup: App Store · Editor's Choice · Still not ready to subscribe? · Includes 1 AI creation · One-time purchase only · No subscription or auto-renewal · Instant access after purchase · 0.99$</t>
        </is>
      </c>
      <c r="K101" s="35" t="inlineStr">
        <is>
          <t>Autotest vòng 2 24/10 · lượt r2free-test06_killAtTopupOffer-163014</t>
        </is>
      </c>
      <c r="L101" s="36" t="inlineStr">
        <is>
          <t>6 ảnh — mở thư mục</t>
        </is>
      </c>
    </row>
    <row r="102" ht="298.5" customHeight="1" s="25">
      <c r="A102" s="31" t="n">
        <v>94</v>
      </c>
      <c r="B102" s="37" t="n"/>
      <c r="C102" s="37" t="n"/>
      <c r="D102" s="32" t="inlineStr">
        <is>
          <t>Gen fail sau khi dùng topup — hoàn lượt, retry chạy lại đủ chuỗi paywall  [Cần BE hỗ trợ]</t>
        </is>
      </c>
      <c r="E102"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free user (chưa mua sub, không có ví quota)
5. Free user mua 1 lượt topup qua Setting → My Balance → Get More (sandbox), chưa dùng
6. Có kết nối internet ổn định
7. Đang ở màn Upload của feature i2i, đã chọn ảnh và style
8. [Cần BE/Infra giả lập] Mock vendor trả lỗi service</t>
        </is>
      </c>
      <c r="F102" s="33" t="inlineStr">
        <is>
          <t>Ví ban đầu: topup = 1</t>
        </is>
      </c>
      <c r="G102" s="33" t="inlineStr">
        <is>
          <t>1. Bấm Generate → đóng paywall → đóng Last-chance → gen fail
2. Bỏ mock, bấm Generate lại</t>
        </is>
      </c>
      <c r="H102" s="33" t="inlineStr">
        <is>
          <t>1. Lần fail: toast 483, topup_balance = 1
2. Lần retry: vẫn hiện paywall feature và Last-chance trước khi gen</t>
        </is>
      </c>
      <c r="I102" s="41" t="inlineStr">
        <is>
          <t>Chờ</t>
        </is>
      </c>
      <c r="J102" s="35" t="inlineStr"/>
      <c r="K102" s="35" t="inlineStr">
        <is>
          <t>Chờ BE/Infra: cần giả lập phía server (vendor lỗi/timeout, webhook, gọi API trực tiếp, proxy) — theo luật không tự giả lỗi server</t>
        </is>
      </c>
    </row>
    <row r="103" ht="220.5" customHeight="1" s="25">
      <c r="A103" s="31" t="n">
        <v>95</v>
      </c>
      <c r="B103" s="37" t="n"/>
      <c r="C103" s="37" t="n"/>
      <c r="D103" s="32" t="inlineStr">
        <is>
          <t>Offline — chặn trước chuỗi paywall</t>
        </is>
      </c>
      <c r="E103"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free user (chưa mua sub, không có ví quota)
5. Bật Airplane Mode
6. Đang ở màn Upload của feature i2i, đã chọn ảnh và style</t>
        </is>
      </c>
      <c r="F103" s="33" t="inlineStr">
        <is>
          <t>N/A</t>
        </is>
      </c>
      <c r="G103" s="33" t="inlineStr">
        <is>
          <t>1. Bấm Generate</t>
        </is>
      </c>
      <c r="H103" s="33" t="inlineStr">
        <is>
          <t>1. Chặn gen kèm thông báo cần mạng
2. Không mở paywall feature / Last-chance / màn topup</t>
        </is>
      </c>
      <c r="I103" s="34" t="inlineStr">
        <is>
          <t>PASS</t>
        </is>
      </c>
      <c r="J103" s="35" t="inlineStr">
        <is>
          <t>KQ: offline bấm Generate: thông báo='No internet connection. Please try again.' · paywall/Last-chance/topup mở=false</t>
        </is>
      </c>
      <c r="K103" s="35" t="inlineStr">
        <is>
          <t>Autotest vòng 2 24/10 · lượt r2free-test04_offlineBlocksBeforeChain-162603</t>
        </is>
      </c>
      <c r="L103" s="36" t="inlineStr">
        <is>
          <t>3 ảnh — mở thư mục</t>
        </is>
      </c>
    </row>
    <row r="104" ht="273" customHeight="1" s="25">
      <c r="A104" s="31" t="n">
        <v>96</v>
      </c>
      <c r="B104" s="37" t="n"/>
      <c r="C104" s="37" t="n"/>
      <c r="D104" s="32" t="inlineStr">
        <is>
          <t>Free user còn topup mua sub — vẫn tiêu topup trước, không nhắc</t>
        </is>
      </c>
      <c r="E104"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free user (chưa mua sub, không có ví quota)
5. Free user mua 2 lượt topup qua Setting → My Balance → Get More (sandbox), chưa dùng
6. Có kết nối internet ổn định
7. Đang ở màn Upload của feature i2i, đã chọn ảnh và style</t>
        </is>
      </c>
      <c r="F104" s="33" t="inlineStr">
        <is>
          <t>Ví ban đầu: topup = 2</t>
        </is>
      </c>
      <c r="G104" s="33" t="inlineStr">
        <is>
          <t>1. Mua gói Weekly từ paywall
2. Bấm Generate, chờ thành công</t>
        </is>
      </c>
      <c r="H104" s="33" t="inlineStr">
        <is>
          <t>1. topup_balance = 1, quota_balance = Q
2. Không hiện câu nhắc thứ tự tiêu ở đâu</t>
        </is>
      </c>
      <c r="I104" s="34" t="inlineStr">
        <is>
          <t>PASS</t>
        </is>
      </c>
      <c r="J104" s="35" t="inlineStr">
        <is>
          <t>free có topup 2 mua gói rồi gen 1 lần (gen nối tiếp=true) → topup 1, quota 20 (spec topup −1, quota 20) · không có câu nhắc thứ tự tiêu</t>
        </is>
      </c>
      <c r="K104" s="35" t="inlineStr">
        <is>
          <t>KQ autotest 22/10 (TC cũ #96, lượt sub-test01_buySubOnFeaturePaywall-163149)</t>
        </is>
      </c>
      <c r="L104" s="36" t="inlineStr">
        <is>
          <t>1 ảnh — mở thư mục</t>
        </is>
      </c>
    </row>
    <row r="105" ht="220.5" customHeight="1" s="25">
      <c r="A105" s="31" t="n">
        <v>97</v>
      </c>
      <c r="B105" s="37" t="n"/>
      <c r="C105" s="37" t="n"/>
      <c r="D105" s="32" t="inlineStr">
        <is>
          <t>Subscriber hết hạn còn topup — đi luồng free</t>
        </is>
      </c>
      <c r="E105"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vừa hết hạn sub, topup_balance = 2
5. Có kết nối internet ổn định
6. Đang ở màn Upload của feature i2i, đã chọn ảnh và style</t>
        </is>
      </c>
      <c r="F105" s="33" t="inlineStr">
        <is>
          <t>N/A</t>
        </is>
      </c>
      <c r="G105" s="33" t="inlineStr">
        <is>
          <t>1. Bấm Generate → đóng paywall → đóng Last-chance</t>
        </is>
      </c>
      <c r="H105" s="33" t="inlineStr">
        <is>
          <t>1. Hiện paywall feature + Last-chance
2. Bỏ qua màn topup, gen chạy → topup_balance = 1
3. Không hiện 481</t>
        </is>
      </c>
      <c r="I105" s="34" t="inlineStr">
        <is>
          <t>PASS</t>
        </is>
      </c>
      <c r="J105" s="35" t="inlineStr">
        <is>
          <t>KQ: chuỗi: paywall: App Store · Editor's Choice · Meet Your Best Version  · AI Face Retouching &amp; Enhancement · 500+ Beauty Filters &amp; Effects · HD Export Without Watermark · 20 AI creations every day, refreshed automatically · Weekly → lastchance: 🎉 Limited Offer: 50% OFF Today · Generate unlimited hairstyles with AI · Cancel anytime. · Close · Now only 199.000đ/week · Claim limited time offer · Restore  · Terms → lastchance: 🎉 Limited Offer: 50% OFF Today · Generate unlimited hairstyles with AI · Cancel anytime. · Close · Now only 199.000đ/week · Claim limited time offer · Restore  · Terms → generating: Generating · Building your visual · Composing frames, detail, and motion. · 34 · % · Rendering · Usually takes 10–15 seconds · Back · gen=result · topup 2 → 1</t>
        </is>
      </c>
      <c r="K105" s="35" t="inlineStr">
        <is>
          <t>Autotest vòng 2 24/10 · lượt r2free-test01_expiredSubWithTopup-161157</t>
        </is>
      </c>
      <c r="L105" s="36" t="inlineStr">
        <is>
          <t>4 ảnh — mở thư mục</t>
        </is>
      </c>
    </row>
    <row r="106" ht="312" customHeight="1" s="25">
      <c r="A106" s="31" t="n">
        <v>98</v>
      </c>
      <c r="B106" s="39" t="n"/>
      <c r="C106" s="39" t="n"/>
      <c r="D106" s="32" t="inlineStr">
        <is>
          <t>Subscriber hết hạn giữa ngày còn quota</t>
        </is>
      </c>
      <c r="E106"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subscriber (tài khoản sandbox mua sub mới, chu kỳ bắt đầu hôm nay 2026-10-24)
5. Bắt đầu sau mốc reset 07:00 giờ VN, chưa gen lần nào trong ngày, không còn topup dư (quota = Q, topup = 0)
6. Gen thành công 1 lần (dùng Enhance cho nhanh) để quota còn Q − 1
7. Xác nhận trước khi test: 413 hiển thị "Q − 1"
8. Sub hết hạn trong ngày</t>
        </is>
      </c>
      <c r="F106" s="33" t="inlineStr">
        <is>
          <t>Ví ban đầu: quota = Q − 1 · topup = 0</t>
        </is>
      </c>
      <c r="G106" s="33" t="inlineStr">
        <is>
          <t>1. Chờ sub hết hạn
2. Vào 413
3. Bấm Generate</t>
        </is>
      </c>
      <c r="H106" s="33" t="inlineStr">
        <is>
          <t>1. quota Q − 1 còn lại bị huỷ ngay, 413 hiện 0, gen vào chuỗi paywall</t>
        </is>
      </c>
      <c r="I106" s="34" t="inlineStr">
        <is>
          <t>PASS</t>
        </is>
      </c>
      <c r="J106" s="35" t="inlineStr">
        <is>
          <t>KQ: Weekly còn quota 19 (topup 0) · chờ 30′ tới hết hạn (isActive=true, expiration=2026-10-24 17:54:18) · 413 sau hết hạn=0 · Generate: paywall: App Store · Editor's Choice · Meet Your Best Version  · AI Face Retouching &amp; Enhancement · 500+ Beauty Filters &amp; Effects · HD Export Without Watermark · 20 AI creations every day, refreshed automatically · Weekly</t>
        </is>
      </c>
      <c r="K106" s="35" t="inlineStr">
        <is>
          <t>Autotest vòng 2 24/10 · lượt r2sub-test03_buyYearly-173027 · CHẤM TAY: Chấm tay: sau hết hạn 413=0, header về free, Generate vào chuỗi paywall (đúng cả 3 ý Expected). Test tự chấm FAIL vì snapshot Debug đọc trước khi app cập nhật còn isActive=true (cache). Quan sát: Weekly hết hạn 17:54:18 nhưng app đang mở foreground ~11′ sau (~18:05) mới nhận hết hạn — hỏi PO 'huỷ ngay' có yêu cầu nhận biết tức thì không.</t>
        </is>
      </c>
      <c r="L106" s="36" t="inlineStr">
        <is>
          <t>6 ảnh — mở thư mục</t>
        </is>
      </c>
    </row>
    <row r="107" ht="15.75" customHeight="1" s="25">
      <c r="A107" s="30" t="inlineStr">
        <is>
          <t>▌ 8. 482 Mua thành công &amp; 483 Toast hoàn lượt</t>
        </is>
      </c>
    </row>
    <row r="108" ht="220.5" customHeight="1" s="25">
      <c r="A108" s="31" t="n">
        <v>99</v>
      </c>
      <c r="B108" s="31" t="inlineStr">
        <is>
          <t>482 Mua thành công &amp; 483 Toast hoàn lượt</t>
        </is>
      </c>
      <c r="C108" s="31" t="inlineStr">
        <is>
          <t>UI</t>
        </is>
      </c>
      <c r="D108" s="32" t="inlineStr">
        <is>
          <t>482 free user lần mua thứ 1</t>
        </is>
      </c>
      <c r="E108"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free user (chưa mua sub, không có ví quota)
5. Chưa từng mua topup (topup_purchase_count = 0)
6. Có kết nối internet ổn định</t>
        </is>
      </c>
      <c r="F108" s="33" t="inlineStr">
        <is>
          <t>N/A</t>
        </is>
      </c>
      <c r="G108" s="33" t="inlineStr">
        <is>
          <t>1. Mua topup thành công lần đầu
2. Đọc màn 482</t>
        </is>
      </c>
      <c r="H108" s="33" t="inlineStr">
        <is>
          <t>1. Nội dung: "Bạn vừa trả $0.99 cho 1 lần tạo. Gói năm $39.99 — bằng 40 lần mua lẻ, nhưng cho bạn Q lần tạo mỗi ngày suốt cả năm." (Q lấy theo cấu hình CMS)
2. 2 nút "Xem gói năm" / "Tiếp tục tạo"</t>
        </is>
      </c>
      <c r="I108" s="38" t="inlineStr">
        <is>
          <t>FAIL</t>
        </is>
      </c>
      <c r="J108" s="35" t="inlineStr">
        <is>
          <t>sau mua lần đầu: màn 482 = không có — chỉ popup hệ thống + pop về 413 (TopupCreationsViewModel.trackPurchaseSuccess: 'Màn 482 = popup xác nhận sẵn có của hệ thống')</t>
        </is>
      </c>
      <c r="K108" s="35" t="inlineStr">
        <is>
          <t>KQ autotest 22/10 (TC cũ #99, lượt buy-rerun072-161528) · chấm lại theo Expected mới: Không có màn 482 — chỉ popup hệ thống.</t>
        </is>
      </c>
      <c r="L108" s="36" t="inlineStr">
        <is>
          <t>2 ảnh — mở thư mục</t>
        </is>
      </c>
    </row>
    <row r="109" ht="376.5" customHeight="1" s="25">
      <c r="A109" s="31" t="n">
        <v>100</v>
      </c>
      <c r="B109" s="37" t="n"/>
      <c r="C109" s="39" t="n"/>
      <c r="D109" s="32" t="inlineStr">
        <is>
          <t>Toast 483 hoàn lượt  [Cần BE hỗ trợ]</t>
        </is>
      </c>
      <c r="E109"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subscriber (tài khoản sandbox mua sub mới, chu kỳ bắt đầu hôm nay 2026-10-24)
5. Bắt đầu sau mốc reset 07:00 giờ VN, chưa gen lần nào trong ngày, không còn topup dư (quota = Q, topup = 0)
6. Gen thành công (Q − 5) lần (dùng Enhance cho nhanh) để quota còn 5
7. Xác nhận trước khi test: 413 hiển thị "5"
8. Có kết nối internet ổn định
9. Đang ở màn Upload của feature i2i, đã chọn ảnh và style
10. [Cần BE/Infra giả lập] Mock vendor trả lỗi</t>
        </is>
      </c>
      <c r="F109" s="33" t="inlineStr">
        <is>
          <t>Ví ban đầu: quota = 5 · topup = 0</t>
        </is>
      </c>
      <c r="G109" s="33" t="inlineStr">
        <is>
          <t>1. Bấm Generate, chờ fail</t>
        </is>
      </c>
      <c r="H109" s="33" t="inlineStr">
        <is>
          <t>1. Toast hiển thị đúng "Tạo không thành công. Lượt của bạn đã được hoàn lại."</t>
        </is>
      </c>
      <c r="I109" s="40" t="inlineStr">
        <is>
          <t>Pending</t>
        </is>
      </c>
      <c r="J109" s="35" t="inlineStr"/>
      <c r="K109" s="35" t="inlineStr">
        <is>
          <t>Pending: toast 483 sau auto-release 10′ (như N048)</t>
        </is>
      </c>
    </row>
    <row r="110" ht="234" customHeight="1" s="25">
      <c r="A110" s="31" t="n">
        <v>101</v>
      </c>
      <c r="B110" s="37" t="n"/>
      <c r="C110" s="32" t="inlineStr">
        <is>
          <t>Validate</t>
        </is>
      </c>
      <c r="D110" s="32" t="inlineStr">
        <is>
          <t>482 free user từ lần thứ 2 — N và tổng tiền tích luỹ</t>
        </is>
      </c>
      <c r="E110"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free user (chưa mua sub, không có ví quota)
5. Có kết nối internet ổn định
6. Đã mua topup thành công N-1 lần trước đó (sandbox, cùng App User ID)</t>
        </is>
      </c>
      <c r="F110" s="33" t="inlineStr">
        <is>
          <t>N=2 → $1.98
N=3 → $2.97
N=10 → $9.90</t>
        </is>
      </c>
      <c r="G110" s="33" t="inlineStr">
        <is>
          <t>1. Mua topup thành công
2. Đọc màn 482</t>
        </is>
      </c>
      <c r="H110" s="33" t="inlineStr">
        <is>
          <t>1. Nội dung "Bạn đã mua lẻ {N} lần — tổng ${tổng}. Gói năm $39.99 cho bạn Q lần tạo mỗi ngày suốt cả năm." đúng giá trị Test data
2. Tổng tiền hiển thị 2 chữ số thập phân, không lỗi làm tròn</t>
        </is>
      </c>
      <c r="I110" s="38" t="inlineStr">
        <is>
          <t>FAIL</t>
        </is>
      </c>
      <c r="J110" s="35" t="inlineStr">
        <is>
          <t>mua lần sau: 482 = không / không — không có màn hiển thị N và tổng tiền</t>
        </is>
      </c>
      <c r="K110" s="35" t="inlineStr">
        <is>
          <t>KQ autotest 22/10 (TC cũ #101, lượt buy-rerun005-162915)</t>
        </is>
      </c>
      <c r="L110" s="36" t="inlineStr">
        <is>
          <t>2 ảnh — mở thư mục</t>
        </is>
      </c>
    </row>
    <row r="111" ht="246.75" customHeight="1" s="25">
      <c r="A111" s="31" t="n">
        <v>102</v>
      </c>
      <c r="B111" s="37" t="n"/>
      <c r="C111" s="31" t="inlineStr">
        <is>
          <t>Logic</t>
        </is>
      </c>
      <c r="D111" s="32" t="inlineStr">
        <is>
          <t>N cộng dồn mọi đường mua (pull + offer)</t>
        </is>
      </c>
      <c r="E111"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free user (chưa mua sub, không có ví quota)
5. Đã mua 1 lần qua 413 (pull)
6. Có kết nối internet ổn định
7. Đang ở màn Upload của feature i2i, đã chọn ảnh và style</t>
        </is>
      </c>
      <c r="F111" s="33" t="inlineStr">
        <is>
          <t>N/A</t>
        </is>
      </c>
      <c r="G111" s="33" t="inlineStr">
        <is>
          <t>1. Dùng hết lượt
2. Mua lần 2 qua màn topup offer
3. Đọc 482</t>
        </is>
      </c>
      <c r="H111" s="33" t="inlineStr">
        <is>
          <t>1. 482 hiển thị "Bạn đã mua lẻ 2 lần — tổng $1.98..."</t>
        </is>
      </c>
      <c r="I111" s="38" t="inlineStr">
        <is>
          <t>FAIL</t>
        </is>
      </c>
      <c r="J111" s="35" t="inlineStr">
        <is>
          <t>lần mua thứ 2 (pull rồi offer): 482 = không có — không đọc được N / tổng tiền</t>
        </is>
      </c>
      <c r="K111" s="35" t="inlineStr">
        <is>
          <t>KQ autotest 22/10 (TC cũ #102, lượt buy-rc163-162339)</t>
        </is>
      </c>
      <c r="L111" s="36" t="inlineStr">
        <is>
          <t>3 ảnh — mở thư mục</t>
        </is>
      </c>
    </row>
    <row r="112" ht="220.5" customHeight="1" s="25">
      <c r="A112" s="31" t="n">
        <v>103</v>
      </c>
      <c r="B112" s="37" t="n"/>
      <c r="C112" s="37" t="n"/>
      <c r="D112" s="32" t="inlineStr">
        <is>
          <t>"Xem gói năm" → paywall sub với placement riêng</t>
        </is>
      </c>
      <c r="E112"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free user (chưa mua sub, không có ví quota)
5. Đang ở 482
6. Có kết nối internet ổn định
7. Bật debug log</t>
        </is>
      </c>
      <c r="F112" s="33" t="inlineStr">
        <is>
          <t>N/A</t>
        </is>
      </c>
      <c r="G112" s="33" t="inlineStr">
        <is>
          <t>1. Tap "Xem gói năm"</t>
        </is>
      </c>
      <c r="H112" s="33" t="inlineStr">
        <is>
          <t>1. Mở paywall sub với placement riêng của 482
2. Bắn event upsell_after_topup_click kèm purchase_index</t>
        </is>
      </c>
      <c r="I112" s="38" t="inlineStr">
        <is>
          <t>FAIL</t>
        </is>
      </c>
      <c r="J112" s="35" t="inlineStr">
        <is>
          <t>Không có màn 482 sau khi mua topup (chỉ popup hệ thống 'You're all set') → không có nút 'Xem gói năm' để bấm; không có event upsell_after_topup_click.</t>
        </is>
      </c>
      <c r="K112" s="35" t="inlineStr">
        <is>
          <t>KQ autotest 22/10 (TC cũ #103, lượt buy-rc163-162339)</t>
        </is>
      </c>
      <c r="L112" s="36" t="inlineStr">
        <is>
          <t>3 ảnh — mở thư mục</t>
        </is>
      </c>
    </row>
    <row r="113" ht="195" customHeight="1" s="25">
      <c r="A113" s="31" t="n">
        <v>104</v>
      </c>
      <c r="B113" s="37" t="n"/>
      <c r="C113" s="37" t="n"/>
      <c r="D113" s="32" t="inlineStr">
        <is>
          <t>"Tiếp tục tạo" ở 482 khi mua qua đường pull (không có gen dở)</t>
        </is>
      </c>
      <c r="E113"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free user (chưa mua sub, không có ví quota)
5. Có kết nối internet ổn định</t>
        </is>
      </c>
      <c r="F113" s="33" t="inlineStr">
        <is>
          <t>N/A</t>
        </is>
      </c>
      <c r="G113" s="33" t="inlineStr">
        <is>
          <t>1. Setting → My Balance → Get More → mua thành công
2. Tap "Tiếp tục tạo" ở 482</t>
        </is>
      </c>
      <c r="H113" s="33" t="inlineStr">
        <is>
          <t>1. về 413</t>
        </is>
      </c>
      <c r="I113" s="34" t="inlineStr">
        <is>
          <t>PASS</t>
        </is>
      </c>
      <c r="J113" s="35" t="inlineStr">
        <is>
          <t>mua pull: không có 482 nên không có nút 'Tiếp tục tạo' — app pop về 413 (spec mơ hồ #10)</t>
        </is>
      </c>
      <c r="K113" s="35" t="inlineStr">
        <is>
          <t>KQ autotest 22/10 (TC cũ #104, lượt buy-rerun072-161528) · chấm lại theo Expected mới: Expected mới "về 413": mua pull pop về 413 — đúng.</t>
        </is>
      </c>
      <c r="L113" s="36" t="inlineStr">
        <is>
          <t>3 ảnh — mở thư mục</t>
        </is>
      </c>
    </row>
    <row r="114" ht="207.75" customHeight="1" s="25">
      <c r="A114" s="31" t="n">
        <v>105</v>
      </c>
      <c r="B114" s="37" t="n"/>
      <c r="C114" s="39" t="n"/>
      <c r="D114" s="32" t="inlineStr">
        <is>
          <t>482 subscriber — chỉ xác nhận, không đối chiếu giá</t>
        </is>
      </c>
      <c r="E114"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subscriber (tài khoản sandbox mua sub mới, chu kỳ bắt đầu hôm nay 2026-10-24)
5. Có kết nối internet ổn định</t>
        </is>
      </c>
      <c r="F114" s="33" t="inlineStr">
        <is>
          <t>N/A</t>
        </is>
      </c>
      <c r="G114" s="33" t="inlineStr">
        <is>
          <t>1. Mua topup thành công
2. Đọc 482</t>
        </is>
      </c>
      <c r="H114" s="33" t="inlineStr">
        <is>
          <t xml:space="preserve">1. Màn 482 chỉ có nội dung xác nhận mua thành công
</t>
        </is>
      </c>
      <c r="I114" s="38" t="inlineStr">
        <is>
          <t>FAIL</t>
        </is>
      </c>
      <c r="J114" s="35" t="inlineStr">
        <is>
          <t>Subscriber mua topup (pull, TC-068/070/009): không có màn 482 xác nhận — chỉ popup hệ thống 'You're all set' rồi app pop về 413.</t>
        </is>
      </c>
      <c r="K114" s="35" t="inlineStr">
        <is>
          <t>KQ autotest 22/10 (TC cũ #105, lượt sub-test06_quota15-165630) · chấm lại theo Expected mới: Không có màn 482 xác nhận — chỉ popup hệ thống "You're all set".</t>
        </is>
      </c>
      <c r="L114" s="36" t="inlineStr">
        <is>
          <t>1 ảnh — mở thư mục</t>
        </is>
      </c>
    </row>
    <row r="115" ht="207.75" customHeight="1" s="25">
      <c r="A115" s="31" t="n">
        <v>106</v>
      </c>
      <c r="B115" s="39" t="n"/>
      <c r="C115" s="31" t="inlineStr">
        <is>
          <t>Edge Case</t>
        </is>
      </c>
      <c r="D115" s="32" t="inlineStr">
        <is>
          <t>topup_purchase_count không reset khi gỡ app cài lại</t>
        </is>
      </c>
      <c r="E115"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free user (chưa mua sub, không có ví quota)
5. Đã mua topup 2 lần
6. Có kết nối internet ổn định</t>
        </is>
      </c>
      <c r="F115" s="33" t="inlineStr">
        <is>
          <t>N/A</t>
        </is>
      </c>
      <c r="G115" s="33" t="inlineStr">
        <is>
          <t>1. Gỡ app, cài lại
2. Mua topup thành công
3. Đọc 482</t>
        </is>
      </c>
      <c r="H115" s="33" t="inlineStr">
        <is>
          <t>1. 482 hiển thị N = 3 ("tổng $2.97")</t>
        </is>
      </c>
      <c r="I115" s="38" t="inlineStr">
        <is>
          <t>FAIL</t>
        </is>
      </c>
      <c r="J115" s="35" t="inlineStr">
        <is>
          <t>Không có màn 482 để đọc N; bộ đếm topupPurchaseCount là biến trong bộ nhớ (CreditQuotaBalanceProvider.swift:33) — về 0 mỗi lần mở app, nên không thể giữ N qua gỡ/cài lại.</t>
        </is>
      </c>
      <c r="K115" s="35" t="inlineStr">
        <is>
          <t>KQ autotest 22/10 (TC cũ #106, lượt đọc code)</t>
        </is>
      </c>
    </row>
    <row r="116" ht="15.75" customHeight="1" s="25">
      <c r="A116" s="30" t="inlineStr">
        <is>
          <t>▌ 9. Reset quota hằng ngày</t>
        </is>
      </c>
    </row>
    <row r="117" ht="207.75" customHeight="1" s="25">
      <c r="A117" s="31" t="n">
        <v>108</v>
      </c>
      <c r="B117" s="31" t="inlineStr">
        <is>
          <t>Reset quota hằng ngày</t>
        </is>
      </c>
      <c r="C117" s="31" t="inlineStr">
        <is>
          <t>Logic</t>
        </is>
      </c>
      <c r="D117" s="32" t="inlineStr">
        <is>
          <t>Reset gán quota = Q cấu hình trên CMS (không cộng dồn)</t>
        </is>
      </c>
      <c r="E117"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subscriber (tài khoản sandbox mua sub mới, chu kỳ bắt đầu hôm nay 2026-10-24)
5. Có kết nối internet ổn định</t>
        </is>
      </c>
      <c r="F117" s="33" t="inlineStr">
        <is>
          <t>Lặp cho: quota trước reset = 0
= Q − 1
= Q</t>
        </is>
      </c>
      <c r="G117" s="33" t="inlineStr">
        <is>
          <t>1. Trước 07:00 giờ VN gen để quota còn đúng giá trị Test data
2. Chờ qua mốc reset 07:00 giờ VN (00:00 UTC)
3. Vào 413</t>
        </is>
      </c>
      <c r="H117" s="33" t="inlineStr">
        <is>
          <t>1. quota_balance = Q trong mọi trường hợp (lượt chưa dùng mất, không cộng dồn)</t>
        </is>
      </c>
      <c r="I117" s="40" t="inlineStr">
        <is>
          <t>Pending</t>
        </is>
      </c>
      <c r="J117" s="35" t="inlineStr"/>
      <c r="K117" s="35" t="inlineStr">
        <is>
          <t>Pending (user 24/10 17:41): cần khung 06:50–07:10 sáng (mốc reset 00:00 UTC) — chưa test</t>
        </is>
      </c>
    </row>
    <row r="118" ht="363.75" customHeight="1" s="25">
      <c r="A118" s="31" t="n">
        <v>109</v>
      </c>
      <c r="B118" s="37" t="n"/>
      <c r="C118" s="37" t="n"/>
      <c r="D118" s="32" t="inlineStr">
        <is>
          <t>Reset không đụng ví topup</t>
        </is>
      </c>
      <c r="E118"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subscriber (tài khoản sandbox mua sub mới, chu kỳ bắt đầu hôm nay 2026-10-24)
5. Bắt đầu sau mốc reset 07:00 giờ VN, chưa gen lần nào trong ngày, không còn topup dư (quota = Q, topup = 0)
6. Gen thành công 1 lần (dùng Enhance cho nhanh) để quota còn Q − 1
7. Sau khi gen xong mới mua 4 lượt topup qua 413 → Get More (topup bị tiêu trước nên phải mua sau)
8. Xác nhận trước khi test: 413 hiển thị "Q + 3", màn topup hiển thị "4 top-up creations left"</t>
        </is>
      </c>
      <c r="F118" s="33" t="inlineStr">
        <is>
          <t>Ví ban đầu: quota = Q − 1 · topup = 4</t>
        </is>
      </c>
      <c r="G118" s="33" t="inlineStr">
        <is>
          <t>1. Chờ qua mốc reset 07:00 giờ VN (00:00 UTC)
2. Vào 413</t>
        </is>
      </c>
      <c r="H118" s="33" t="inlineStr">
        <is>
          <t>1. quota_balance = Q, topup_balance = 4
2. 413 hiển thị "Q + 4"</t>
        </is>
      </c>
      <c r="I118" s="40" t="inlineStr">
        <is>
          <t>Pending</t>
        </is>
      </c>
      <c r="J118" s="35" t="inlineStr"/>
      <c r="K118" s="35" t="inlineStr">
        <is>
          <t>Pending (user 24/10 17:41): cần khung 06:50–07:10 sáng (mốc reset 00:00 UTC) — chưa test</t>
        </is>
      </c>
    </row>
    <row r="119" ht="324.75" customHeight="1" s="25">
      <c r="A119" s="31" t="n">
        <v>110</v>
      </c>
      <c r="B119" s="37" t="n"/>
      <c r="C119" s="37" t="n"/>
      <c r="D119" s="32" t="inlineStr">
        <is>
          <t>Mốc reset là 00:00 UTC (07:00 giờ VN)</t>
        </is>
      </c>
      <c r="E119"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subscriber (tài khoản sandbox mua sub mới, chu kỳ bắt đầu hôm nay 2026-10-24)
5. Bắt đầu sau mốc reset 07:00 giờ VN, chưa gen lần nào trong ngày, không còn topup dư (quota = Q, topup = 0)
6. Gen thành công Q lần (dùng Enhance cho nhanh) để quota còn 0 — hoàn tất trước 06:55 giờ VN
7. Xác nhận trước khi test: 413 hiển thị "0"
8. Có kết nối internet ổn định</t>
        </is>
      </c>
      <c r="F119" s="33" t="inlineStr">
        <is>
          <t>Ví ban đầu: quota = 0 · topup = 0</t>
        </is>
      </c>
      <c r="G119" s="33" t="inlineStr">
        <is>
          <t>1. Lúc 06:59 bấm Generate
2. Lúc 07:01 bấm Generate</t>
        </is>
      </c>
      <c r="H119" s="33" t="inlineStr">
        <is>
          <t>1. 06:59: hiện 481
2. 07:01: gen chạy, trừ quota → quota_balance = Q − 1</t>
        </is>
      </c>
      <c r="I119" s="40" t="inlineStr">
        <is>
          <t>Pending</t>
        </is>
      </c>
      <c r="J119" s="35" t="inlineStr"/>
      <c r="K119" s="35" t="inlineStr">
        <is>
          <t>Pending (user 24/10 17:41): cần khung 06:50–07:10 sáng (mốc reset 00:00 UTC) — chưa test</t>
        </is>
      </c>
    </row>
    <row r="120" ht="324.75" customHeight="1" s="25">
      <c r="A120" s="31" t="n">
        <v>111</v>
      </c>
      <c r="B120" s="37" t="n"/>
      <c r="C120" s="37" t="n"/>
      <c r="D120" s="32" t="inlineStr">
        <is>
          <t>Gen submit trước mốc, thành công sau mốc — ngày mới vẫn đủ Q</t>
        </is>
      </c>
      <c r="E120"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subscriber (tài khoản sandbox mua sub mới, chu kỳ bắt đầu hôm nay 2026-10-24)
5. Bắt đầu sau mốc reset 07:00 giờ VN, chưa gen lần nào trong ngày, không còn topup dư (quota = Q, topup = 0)
6. Gen thành công 1 lần (dùng Enhance cho nhanh) để quota còn Q − 1
7. Xác nhận trước khi test: 413 hiển thị "Q − 1"
8. Có kết nối internet ổn định</t>
        </is>
      </c>
      <c r="F120" s="33" t="inlineStr">
        <is>
          <t>Ví ban đầu: quota = Q − 1 · topup = 0</t>
        </is>
      </c>
      <c r="G120" s="33" t="inlineStr">
        <is>
          <t>1. Bấm Generate video lúc 06:58 VN (HOLD ở ví quota)
2. Kết quả thành công về sau 07:00
3. Kiểm tra số dư</t>
        </is>
      </c>
      <c r="H120" s="33" t="inlineStr">
        <is>
          <t>1. Gen COMMIT bình thường
2. quota_balance ngày mới = Q</t>
        </is>
      </c>
      <c r="I120" s="40" t="inlineStr">
        <is>
          <t>Pending</t>
        </is>
      </c>
      <c r="J120" s="35" t="inlineStr"/>
      <c r="K120" s="35" t="inlineStr">
        <is>
          <t>Pending (user 24/10 17:41): cần khung 06:50–07:10 sáng (mốc reset 00:00 UTC) — chưa test</t>
        </is>
      </c>
    </row>
    <row r="121" ht="273" customHeight="1" s="25">
      <c r="A121" s="31" t="n">
        <v>112</v>
      </c>
      <c r="B121" s="37" t="n"/>
      <c r="C121" s="39" t="n"/>
      <c r="D121" s="32" t="inlineStr">
        <is>
          <t>Bộ đếm offer free user reset theo ngày máy chủ</t>
        </is>
      </c>
      <c r="E121"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free user (chưa mua sub, không có ví quota)
5. topup_balance = 0
6. Hôm qua đã hiện màn topup offer
7. Có kết nối internet ổn định
8. Đang ở màn Upload của feature i2i, đã chọn ảnh và style</t>
        </is>
      </c>
      <c r="F121" s="33" t="inlineStr">
        <is>
          <t>N/A</t>
        </is>
      </c>
      <c r="G121" s="33" t="inlineStr">
        <is>
          <t>1. Sau 07:00 VN bấm Generate → đóng paywall → đóng Last-chance</t>
        </is>
      </c>
      <c r="H121" s="33" t="inlineStr">
        <is>
          <t>1. Màn topup offer hiển thị lại</t>
        </is>
      </c>
      <c r="I121" s="40" t="inlineStr">
        <is>
          <t>Pending</t>
        </is>
      </c>
      <c r="J121" s="35" t="inlineStr"/>
      <c r="K121" s="35" t="inlineStr">
        <is>
          <t>Pending (user 24/10 17:41): cần khung 06:50–07:10 sáng (mốc reset 00:00 UTC) — chưa test</t>
        </is>
      </c>
    </row>
    <row r="122" ht="399.75" customHeight="1" s="25">
      <c r="A122" s="31" t="n">
        <v>114</v>
      </c>
      <c r="B122" s="37" t="n"/>
      <c r="C122" s="31" t="n"/>
      <c r="D122" s="32" t="inlineStr">
        <is>
          <t>Gen submit trước mốc ở ví topup, fail sau mốc — luôn hoàn  [Cần BE hỗ trợ]</t>
        </is>
      </c>
      <c r="E122"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subscriber (tài khoản sandbox mua sub mới, chu kỳ bắt đầu hôm nay 2026-10-24)
5. Bắt đầu sau mốc reset 07:00 giờ VN, chưa gen lần nào trong ngày, không còn topup dư (quota = Q, topup = 0)
6. Gen thành công 1 lần (dùng Enhance cho nhanh) để quota còn Q − 1
7. Sau khi gen xong mới mua 1 lượt topup qua 413 → Get More (topup bị tiêu trước nên phải mua sau)
8. Xác nhận trước khi test: 413 hiển thị "Q", màn topup hiển thị "1 top-up creations left"
9. Có kết nối internet ổn định
10. [Cần BE/Infra giả lập] Mock vendor trả fail sau 07:00</t>
        </is>
      </c>
      <c r="F122" s="33" t="inlineStr">
        <is>
          <t>Ví ban đầu: quota = Q − 1 · topup = 1</t>
        </is>
      </c>
      <c r="G122" s="33" t="inlineStr">
        <is>
          <t>1. Bấm Generate lúc 06:58
2. Chờ fail sau mốc reset</t>
        </is>
      </c>
      <c r="H122" s="33" t="inlineStr">
        <is>
          <t>1. topup_balance = 1
2. Toast 483 hiển thị</t>
        </is>
      </c>
      <c r="I122" s="41" t="inlineStr">
        <is>
          <t>Chờ</t>
        </is>
      </c>
      <c r="J122" s="35" t="inlineStr"/>
      <c r="K122" s="35" t="inlineStr">
        <is>
          <t>Chờ BE/Infra: cần giả lập phía server (vendor lỗi/timeout, webhook, gọi API trực tiếp, proxy) — theo luật không tự giả lỗi server</t>
        </is>
      </c>
    </row>
    <row r="123" ht="298.5" customHeight="1" s="25">
      <c r="A123" s="31" t="n">
        <v>115</v>
      </c>
      <c r="B123" s="39" t="n"/>
      <c r="C123" s="31" t="n"/>
      <c r="D123" s="32" t="inlineStr">
        <is>
          <t>Đổi múi giờ thiết bị không ảnh hưởng mốc reset</t>
        </is>
      </c>
      <c r="E123"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subscriber (tài khoản sandbox mua sub mới, chu kỳ bắt đầu hôm nay 2026-10-24)
5. Bắt đầu sau mốc reset 07:00 giờ VN, chưa gen lần nào trong ngày, không còn topup dư (quota = Q, topup = 0)
6. Gen thành công Q lần (dùng Enhance cho nhanh) để quota còn 0
7. Xác nhận trước khi test: 413 hiển thị "0"</t>
        </is>
      </c>
      <c r="F123" s="33" t="inlineStr">
        <is>
          <t>Ví ban đầu: quota = 0 · topup = 0</t>
        </is>
      </c>
      <c r="G123" s="33" t="inlineStr">
        <is>
          <t>1. Đổi Time Zone thiết bị sang múi giờ đã qua nửa đêm (VD UTC+14)
2. Mở app, bấm Generate</t>
        </is>
      </c>
      <c r="H123" s="33" t="inlineStr">
        <is>
          <t>1. Vẫn hiện 481, quota không reset</t>
        </is>
      </c>
      <c r="I123" s="40" t="inlineStr">
        <is>
          <t>Pending</t>
        </is>
      </c>
      <c r="J123" s="35" t="inlineStr"/>
      <c r="K123" s="35" t="inlineStr">
        <is>
          <t>Pending (user 24/10 17:41): cần khung 06:50–07:10 sáng (mốc reset 00:00 UTC) — chưa test</t>
        </is>
      </c>
    </row>
    <row r="124" ht="15.75" customHeight="1" s="25">
      <c r="A124" s="30" t="inlineStr">
        <is>
          <t>▌ 10. Grandfather (AC4) — quota_grandfather_until</t>
        </is>
      </c>
    </row>
    <row r="125" ht="207.75" customHeight="1" s="25">
      <c r="A125" s="31" t="n">
        <v>116</v>
      </c>
      <c r="B125" s="31" t="inlineStr">
        <is>
          <t>Grandfather (AC4) — quota_grandfather_until</t>
        </is>
      </c>
      <c r="C125" s="31" t="inlineStr">
        <is>
          <t>Logic</t>
        </is>
      </c>
      <c r="D125" s="32" t="inlineStr">
        <is>
          <t>Ngày ≤ hôm nay — app chạy cơ chế quota mới</t>
        </is>
      </c>
      <c r="E125"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subscriber (tài khoản sandbox mua sub mới, chu kỳ bắt đầu hôm nay 2026-10-24)
5. Có kết nối internet ổn định</t>
        </is>
      </c>
      <c r="F125" s="33" t="inlineStr">
        <is>
          <t>2026-10-24T00:00:00Z (= hôm nay)
Lặp cho: 2026-10-23T00:00:00Z (= hôm nay − 1)
2026-01-01T00:00:00Z (quá khứ xa)</t>
        </is>
      </c>
      <c r="G125" s="33" t="inlineStr">
        <is>
          <t>1. Đặt RC quota_grandfather_until theo Test data
2. Kill app, mở lại (fetch RC)
3. Quan sát header Home
4. Vào 413
5. Gen thành công Q lần, bấm Generate lần Q + 1</t>
        </is>
      </c>
      <c r="H125" s="33" t="inlineStr">
        <is>
          <t>1. Header: badge hiển thị "Q", không có nút "Upgrade" / Get Pro
2. 413 hiển thị "Q" (không phải "Unlimited")
3. Lần Q + 1 hiện dialog 481</t>
        </is>
      </c>
      <c r="I125" s="34" t="inlineStr">
        <is>
          <t>PASS</t>
        </is>
      </c>
      <c r="J125" s="35" t="inlineStr">
        <is>
          <t>a: RC grandfather = hôm nay: header badge=20 · Upgrade=false · 413=20 · Q(quotaLimit)=20 · tier=creditV3 · latestPurchase=2026-10-24 17:18:18 · productId=iip055.weekly.9.99 · ví trước 0/topup 0 ‖ b: Từ bằng chứng test08 (lượt chạy dừng ở bước đọc ví cuối do lỗi chạm Setting): Q=20 — 2 lượt (test05) + 18 lượt (test08) result; lượt Q+1 hiện dialog 481 "Daily limit reached" (ảnh 'N167 — 481 lần Q+1', 19:16)</t>
        </is>
      </c>
      <c r="K125" s="35" t="inlineStr">
        <is>
          <t>Autotest vòng 2 24/10 · lượt r2sub-test01_buyWeeklyFromHome-171603, r2sub-test08-tu-bang-chung-192800</t>
        </is>
      </c>
    </row>
    <row r="126" ht="207.75" customHeight="1" s="25">
      <c r="A126" s="31" t="n">
        <v>117</v>
      </c>
      <c r="B126" s="37" t="n"/>
      <c r="C126" s="37" t="n"/>
      <c r="D126" s="32" t="inlineStr">
        <is>
          <t>Ngày tương lai — app chạy cơ chế cũ (grandfather)</t>
        </is>
      </c>
      <c r="E126"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subscriber (tài khoản sandbox mua sub mới, chu kỳ bắt đầu hôm nay 2026-10-24)
5. Có kết nối internet ổn định</t>
        </is>
      </c>
      <c r="F126" s="33" t="inlineStr">
        <is>
          <t>2026-10-25T00:00:00Z (= hôm nay + 1)
Lặp cho: 2026-12-31T00:00:00Z (tương lai xa)</t>
        </is>
      </c>
      <c r="G126" s="33" t="inlineStr">
        <is>
          <t>1. Đặt RC quota_grandfather_until theo Test data
2. Kill app, mở lại (fetch RC)
3. Quan sát header Home
4. Vào 413
5. Gen thành công Q + 1 lần</t>
        </is>
      </c>
      <c r="H126" s="33" t="inlineStr">
        <is>
          <t>1. Header: badge ẩn, không có nút "Upgrade" / Get Pro
2. 413 hiển thị "Unlimited"
3. Lần Q + 1 gen bình thường, không hiện 481</t>
        </is>
      </c>
      <c r="I126" s="38" t="inlineStr">
        <is>
          <t>FAIL</t>
        </is>
      </c>
      <c r="J126" s="35" t="inlineStr">
        <is>
          <t>a: header badge=ẩn · Upgrade=false · 413 Unlimited=false · RC=2026-10-26T00:00:00Z · tier=unlimitedV1 · isUnlimitedGen=true · latestPurchase=2026-10-25 11:13:44 ‖ b: lần Q+1 không 481: 21/21 lượt result, 481=0 · ví (Debug quota.total/topup) 15/0 → sau thử mua 15/0 → sau gen 15/0 · tier=unlimitedV1 · isUnlimitedGen=true</t>
        </is>
      </c>
      <c r="K126" s="35" t="inlineStr">
        <is>
          <t>Autotest vòng 2 24/10 · lượt r2fin-test04_grandfatherState-112203, r2fin-test06_grandfatherGenBeyondQ-112506</t>
        </is>
      </c>
      <c r="L126" s="36" t="inlineStr">
        <is>
          <t>2 ảnh — mở thư mục</t>
        </is>
      </c>
    </row>
    <row r="127" ht="220.5" customHeight="1" s="25">
      <c r="A127" s="31" t="n">
        <v>118</v>
      </c>
      <c r="B127" s="37" t="n"/>
      <c r="C127" s="37" t="n"/>
      <c r="D127" s="32" t="inlineStr">
        <is>
          <t>Đổi RC từ ngày tương lai sang hôm nay — chuyển sang cơ chế mới</t>
        </is>
      </c>
      <c r="E127" s="33" t="inlineStr">
        <is>
          <t>1. RC (Firebase): enable_daily_quota = true · enable_topup = true · topup_offer_max_per_day = 1
2. CMS: số lượt/ngày = Q (PO cấu hình trên CMS, mặc định 20; mọi số lượt trong TC tính theo Q)
3. RC: quota_grandfather_until = 2026-10-25T00:00:00Z (= hôm nay + 1, ngày tương lai → app chạy cơ chế cũ)
4. User là subscriber (tài khoản sandbox mua sub mới, chu kỳ bắt đầu hôm nay 2026-10-24)
5. Có kết nối internet ổn định
6. 413 đang hiển thị "Unlimited"</t>
        </is>
      </c>
      <c r="F127" s="33" t="inlineStr">
        <is>
          <t>N/A</t>
        </is>
      </c>
      <c r="G127" s="33" t="inlineStr">
        <is>
          <t>1. Đổi RC quota_grandfather_until = 2026-10-24T00:00:00Z
2. Kill app, mở lại (fetch RC)
3. Vào 413</t>
        </is>
      </c>
      <c r="H127" s="33" t="inlineStr">
        <is>
          <t>1. 413 hiển thị "Q"</t>
        </is>
      </c>
      <c r="I127" s="34" t="inlineStr">
        <is>
          <t>PASS</t>
        </is>
      </c>
      <c r="J127" s="35" t="inlineStr">
        <is>
          <t>KQ: đổi RC ngày mai → hôm nay, kill + mở lại: 413=20 (Q=20, topup 0) · tier=creditV3 · RC=2026-10-24T00:00:00Z</t>
        </is>
      </c>
      <c r="K127" s="35" t="inlineStr">
        <is>
          <t>Autotest vòng 2 24/10 · lượt r2sub-test05_todayStateThenGenTwo-182349</t>
        </is>
      </c>
    </row>
    <row r="128" ht="234" customHeight="1" s="25">
      <c r="A128" s="31" t="n">
        <v>119</v>
      </c>
      <c r="B128" s="37" t="n"/>
      <c r="C128" s="37" t="n"/>
      <c r="D128" s="32" t="inlineStr">
        <is>
          <t>Đổi RC từ hôm nay sang ngày tương lai — quay về cơ chế cũ</t>
        </is>
      </c>
      <c r="E128"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subscriber (tài khoản sandbox mua sub mới, chu kỳ bắt đầu hôm nay 2026-10-24)
5. Có kết nối internet ổn định
6. Đã gen 2 lần (413 hiển thị "Q − 2")</t>
        </is>
      </c>
      <c r="F128" s="33" t="inlineStr">
        <is>
          <t>N/A</t>
        </is>
      </c>
      <c r="G128" s="33" t="inlineStr">
        <is>
          <t>1. Đổi RC quota_grandfather_until = 2026-10-25T00:00:00Z
2. Kill app, mở lại (fetch RC)
3. Vào 413
4. Gen Q + 1 lần</t>
        </is>
      </c>
      <c r="H128" s="33" t="inlineStr">
        <is>
          <t>1. 413 hiển thị "Unlimited"
2. Không hiện 481 trong Q + 1 lần gen</t>
        </is>
      </c>
      <c r="I128" s="34" t="inlineStr">
        <is>
          <t>PASS</t>
        </is>
      </c>
      <c r="J128" s="35" t="inlineStr">
        <is>
          <t>KQ: đổi RC sang ngày mai → grandfather: 21/21 lượt result, 481=0 · ví (Debug quota.total/topup) 15/0 → sau thử mua 15/0 → sau gen 15/0 · tier=unlimitedV1 · isUnlimitedGen=true · 413: Setting ẩn My Balance với grandfather (SettingsView.swift:84) nên không thấy 'Unlimited' ‖ pre: gen 2 lần ở build hôm nay: 413 20 → 18 · badge 20 → result:19 → result:18</t>
        </is>
      </c>
      <c r="K128" s="35" t="inlineStr">
        <is>
          <t>Autotest vòng 2 24/10 · lượt r2fin-test06_grandfatherGenBeyondQ-112506, r2sub-test05_todayStateThenGenTwo-182349</t>
        </is>
      </c>
    </row>
    <row r="129" ht="220.5" customHeight="1" s="25">
      <c r="A129" s="31" t="n">
        <v>120</v>
      </c>
      <c r="B129" s="37" t="n"/>
      <c r="C129" s="37" t="n"/>
      <c r="D129" s="32" t="inlineStr">
        <is>
          <t>Grandfather gen không tạo HOLD, không trừ ví  [Cần BE hỗ trợ]</t>
        </is>
      </c>
      <c r="E129" s="33" t="inlineStr">
        <is>
          <t>1. RC (Firebase): enable_daily_quota = true · enable_topup = true · topup_offer_max_per_day = 1
2. CMS: số lượt/ngày = Q (PO cấu hình trên CMS, mặc định 20; mọi số lượt trong TC tính theo Q)
3. RC: quota_grandfather_until = 2026-10-25T00:00:00Z (= hôm nay + 1, ngày tương lai → app chạy cơ chế cũ) — user là subscriber, chu kỳ bắt đầu hôm nay (trước mốc) → grandfather
4. Có kết nối internet ổn định
5. Đang ở màn Upload của feature i2i, đã chọn ảnh và style</t>
        </is>
      </c>
      <c r="F129" s="33" t="inlineStr">
        <is>
          <t>N/A</t>
        </is>
      </c>
      <c r="G129" s="33" t="inlineStr">
        <is>
          <t>1. Bấm Generate
2. Kiểm sổ BE</t>
        </is>
      </c>
      <c r="H129" s="33" t="inlineStr">
        <is>
          <t>1. Gen chạy như bản cũ
2. Không tạo HOLD, không trừ ví nào
3. Không bao giờ hiện 481</t>
        </is>
      </c>
      <c r="I129" s="34" t="inlineStr">
        <is>
          <t>PASS</t>
        </is>
      </c>
      <c r="J129" s="35" t="inlineStr">
        <is>
          <t>KQ: grandfather gen không trừ ví: 21/21 lượt result, 481=0 · ví (Debug quota.total/topup) 15/0 → sau thử mua 15/0 → sau gen 15/0 · tier=unlimitedV1 · isUnlimitedGen=true (HOLD phía BE: không thấy từ app)</t>
        </is>
      </c>
      <c r="K129" s="35" t="inlineStr">
        <is>
          <t>Autotest vòng 2 24/10 · lượt r2fin-test06_grandfatherGenBeyondQ-112506</t>
        </is>
      </c>
    </row>
    <row r="130" ht="168.75" customHeight="1" s="25">
      <c r="A130" s="31" t="n">
        <v>121</v>
      </c>
      <c r="B130" s="37" t="n"/>
      <c r="C130" s="37" t="n"/>
      <c r="D130" s="32" t="inlineStr">
        <is>
          <t>Huỷ rồi mua lại sau mốc — áp quota</t>
        </is>
      </c>
      <c r="E130" s="33" t="inlineStr">
        <is>
          <t>1. RC (Firebase): enable_daily_quota = true · enable_topup = true · topup_offer_max_per_day = 1
2. CMS: số lượt/ngày = Q (PO cấu hình trên CMS, mặc định 20; mọi số lượt trong TC tính theo Q)
3. RC: quota_grandfather_until = 2026-10-24T00:00:00Z
4. User từng có sub bắt đầu trước 2026-10-24, đã huỷ và hết hạn
5. Có kết nối internet ổn định</t>
        </is>
      </c>
      <c r="F130" s="33" t="inlineStr">
        <is>
          <t>N/A</t>
        </is>
      </c>
      <c r="G130" s="33" t="inlineStr">
        <is>
          <t>1. Mua lại gói Weekly hôm nay
2. Vào 413
3. Gen Q + 1 lần</t>
        </is>
      </c>
      <c r="H130" s="33" t="inlineStr">
        <is>
          <t>1. 413 hiển thị "Q" (không còn Unlimited)
2. Lần thứ Q + 1 hiện 481</t>
        </is>
      </c>
      <c r="I130" s="34" t="inlineStr">
        <is>
          <t>PASS</t>
        </is>
      </c>
      <c r="J130" s="35" t="inlineStr">
        <is>
          <t>a: sub cũ (22/10) đã hết hạn, mua lại Weekly hôm nay: 413=20 · Q(quotaLimit)=20 · tier=creditV3 · latestPurchase=2026-10-24 17:18:18 · productId=iip055.weekly.9.99 · ví trước 0/topup 0 ‖ b: Như N116-b: user mua lại gói hôm nay bị áp quota, lượt Q+1 hiện 481 (ảnh 19:16)</t>
        </is>
      </c>
      <c r="K130" s="35" t="inlineStr">
        <is>
          <t>Autotest vòng 2 24/10 · lượt r2sub-test01_buyWeeklyFromHome-171603, r2sub-test08-tu-bang-chung-192800</t>
        </is>
      </c>
    </row>
    <row r="131" ht="181.5" customHeight="1" s="25">
      <c r="A131" s="31" t="n">
        <v>122</v>
      </c>
      <c r="B131" s="37" t="n"/>
      <c r="C131" s="37" t="n"/>
      <c r="D131" s="32" t="inlineStr">
        <is>
          <t>Xét theo chu kỳ đang trả, không theo lần sub đầu</t>
        </is>
      </c>
      <c r="E131" s="33" t="inlineStr">
        <is>
          <t>1. RC (Firebase): enable_daily_quota = true · enable_topup = true · topup_offer_max_per_day = 1
2. CMS: số lượt/ngày = Q (PO cấu hình trên CMS, mặc định 20; mọi số lượt trong TC tính theo Q)
3. RC: quota_grandfather_until = 2026-10-24T00:00:00Z
4. User sub lần đầu trước 2026-10-24, chu kỳ hiện tại (đã gia hạn) bắt đầu từ 2026-10-24
5. Có kết nối internet ổn định</t>
        </is>
      </c>
      <c r="F131" s="33" t="inlineStr">
        <is>
          <t>N/A</t>
        </is>
      </c>
      <c r="G131" s="33" t="inlineStr">
        <is>
          <t>1. Vào 413</t>
        </is>
      </c>
      <c r="H131" s="33" t="inlineStr">
        <is>
          <t>1. 413 hiển thị "Q", không phải "Unlimited"</t>
        </is>
      </c>
      <c r="I131" s="41" t="inlineStr">
        <is>
          <t>Chờ</t>
        </is>
      </c>
      <c r="J131" s="35" t="inlineStr"/>
      <c r="K131" s="35" t="inlineStr">
        <is>
          <t>Chưa chạy: như N083 (chu kỳ đang trả bắt đầu sau mốc, sub đầu trước mốc)</t>
        </is>
      </c>
    </row>
    <row r="132" ht="220.5" customHeight="1" s="25">
      <c r="A132" s="31" t="n">
        <v>123</v>
      </c>
      <c r="B132" s="37" t="n"/>
      <c r="C132" s="39" t="n"/>
      <c r="D132" s="32" t="inlineStr">
        <is>
          <t>Đường kiểm tra sub: grandfather đọc RevenueCat, user áp quota do BE kiểm</t>
        </is>
      </c>
      <c r="E132"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subscriber (tài khoản sandbox mua sub mới, chu kỳ bắt đầu hôm nay 2026-10-24)
5. Có kết nối internet ổn định
6. Bắt traffic qua proxy</t>
        </is>
      </c>
      <c r="F132" s="33" t="inlineStr">
        <is>
          <t>N/A</t>
        </is>
      </c>
      <c r="G132" s="33" t="inlineStr">
        <is>
          <t>1. Đặt RC quota_grandfather_until = 2026-10-25T00:00:00Z, mở app, ghi nhận nguồn kiểm sub
2. Đặt RC quota_grandfather_until = 2026-10-24T00:00:00Z, kill app mở lại, ghi nhận nguồn kiểm sub</t>
        </is>
      </c>
      <c r="H132" s="33" t="inlineStr">
        <is>
          <t>1. Ngày tương lai: app đọc trạng thái sub từ RevenueCat như hiện tại
2. Ngày hôm nay: app đọc subscription_source và tin BE</t>
        </is>
      </c>
      <c r="I132" s="34" t="inlineStr">
        <is>
          <t>PASS</t>
        </is>
      </c>
      <c r="J132" s="35" t="inlineStr">
        <is>
          <t>a: ngày hôm nay: tier=creditV3 · activeProviders=apple-store · hasActiveSub=true · quotaEnforced=true ‖ b: ngày tương lai: RC=2026-10-26T00:00:00Z · tier=unlimitedV1 · isUnlimitedGen=true · latestPurchase=2026-10-25 11:13:44 · activeProviders=apple-store · hasActiveSub=true</t>
        </is>
      </c>
      <c r="K132" s="35" t="inlineStr">
        <is>
          <t>Autotest vòng 2 24/10 · lượt r2fin-test04_grandfatherState-112203, r2sub-test05_todayStateThenGenTwo-182349 · CHẤM TAY: Gộp 2 vế: RC ngày tương lai (2026-10-26) → tier=unlimitedV1 dù BE có sub apple-store (app quyết theo latestPurchase RevenueCat &lt; mốc); RC hôm nay → tier=creditV3, quotaEnforced=true theo BE. Đo qua màn Debug Sub state + code GeniusApiVersionRouter.swift:90–131 — không bắt traffic (proxy ngoài phạm vi).</t>
        </is>
      </c>
    </row>
    <row r="133" ht="181.5" customHeight="1" s="25">
      <c r="A133" s="31" t="n">
        <v>125</v>
      </c>
      <c r="B133" s="39" t="n"/>
      <c r="C133" s="32" t="inlineStr">
        <is>
          <t>Edge Case</t>
        </is>
      </c>
      <c r="D133" s="32" t="inlineStr">
        <is>
          <t>quota_grandfather_until rỗng — không áp quota cho ai</t>
        </is>
      </c>
      <c r="E133" s="33" t="inlineStr">
        <is>
          <t>1. RC (Firebase): enable_daily_quota = true · enable_topup = true · topup_offer_max_per_day = 1
2. CMS: số lượt/ngày = Q (PO cấu hình trên CMS, mặc định 20; mọi số lượt trong TC tính theo Q)
3. RC: quota_grandfather_until = ""
4. User là subscriber (tài khoản sandbox mua sub mới, chu kỳ bắt đầu hôm nay 2026-10-24)
5. Có kết nối internet ổn định</t>
        </is>
      </c>
      <c r="F133" s="33" t="inlineStr">
        <is>
          <t>N/A</t>
        </is>
      </c>
      <c r="G133" s="33" t="inlineStr">
        <is>
          <t>1. Gen Q + 1 lần
2. Vào 413</t>
        </is>
      </c>
      <c r="H133" s="33" t="inlineStr">
        <is>
          <t>1. Lần Q + 1 không bị chặn</t>
        </is>
      </c>
      <c r="I133" s="38" t="inlineStr">
        <is>
          <t>FAIL</t>
        </is>
      </c>
      <c r="J133" s="35" t="inlineStr">
        <is>
          <t>KQ: RC ép='empty' · giá trị app đang dùng=2026-10-24T00:00:00Z · tier=creditV3 · isUnlimitedGen=false · 413=0 · gen: 481, -</t>
        </is>
      </c>
      <c r="K133" s="35" t="inlineStr">
        <is>
          <t>Autotest vòng 2 24/10 · lượt r2fin-rc-empty-124336 · CHẤM TAY: RC quota_grandfather_until rỗng (ép trong code, đi qua luật syncAllKeys): app bỏ qua chuỗi rỗng → giữ giá trị đã lưu 2026-10-24 (cài mới thì dùng default code 2026-08-11) → tier=creditV3, VẪN áp quota (ví 0 → 481). Expected: không áp quota cho ai. Code chủ ý ngược spec: GeniusApiVersionRouter.swift:99–101 'Rỗng hoặc parse fail → không grandfather ai' — hỏi PO chốt bên nào.</t>
        </is>
      </c>
    </row>
    <row r="134" ht="15.75" customHeight="1" s="25">
      <c r="A134" s="48" t="inlineStr">
        <is>
          <t>▌ 11. Định danh App User ID</t>
        </is>
      </c>
    </row>
    <row r="135" ht="64.5" customHeight="1" s="25">
      <c r="A135" s="31" t="n">
        <v>126</v>
      </c>
      <c r="B135" s="31" t="inlineStr">
        <is>
          <t>Định danh App User ID</t>
        </is>
      </c>
      <c r="C135" s="31" t="inlineStr">
        <is>
          <t>Logic</t>
        </is>
      </c>
      <c r="D135" s="32" t="inlineStr">
        <is>
          <t>Lần đầu chạy app sinh UUID lưu Keychain, dùng làm App User ID RevenueCat</t>
        </is>
      </c>
      <c r="E135" s="33" t="inlineStr">
        <is>
          <t>1. App cài mới
2. Có kết nối internet ổn định</t>
        </is>
      </c>
      <c r="F135" s="33" t="inlineStr">
        <is>
          <t>N/A</t>
        </is>
      </c>
      <c r="G135" s="33" t="inlineStr">
        <is>
          <t>1. Mở app lần đầu
2. Lấy App User ID từ debug log
3. Tra customer trên RevenueCat dashboard (sandbox)</t>
        </is>
      </c>
      <c r="H135" s="33" t="inlineStr">
        <is>
          <t>1. App User ID là UUID do app sinh, không phải $RCAnonymousID
2. Customer trên RevenueCat có đúng ID đó</t>
        </is>
      </c>
      <c r="I135" s="43" t="inlineStr">
        <is>
          <t>Cần xem</t>
        </is>
      </c>
      <c r="J135" s="35" t="inlineStr"/>
      <c r="K135" s="35" t="inlineStr">
        <is>
          <t>Chấm từ bằng chứng/code: Phần app: App User ID = UUID do app sinh (62007A49-D5B9-4F7E-BD43-81D58D1F64FA, màn Debug), không phải $RCAnonymousID — đạt. Phần tra customer trên RevenueCat dashboard cần quyền dashboard — chưa đối chiếu.</t>
        </is>
      </c>
    </row>
    <row r="136" ht="220.5" customHeight="1" s="25">
      <c r="A136" s="31" t="n">
        <v>127</v>
      </c>
      <c r="B136" s="37" t="n"/>
      <c r="C136" s="37" t="n"/>
      <c r="D136" s="32" t="inlineStr">
        <is>
          <t>Chưa đăng nhập vẫn mua được topup — không hỏi đăng nhập</t>
        </is>
      </c>
      <c r="E136"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free user (chưa mua sub, không có ví quota)
5. Chưa đăng nhập tài khoản Apple trong app
6. Có kết nối internet ổn định</t>
        </is>
      </c>
      <c r="F136" s="33" t="inlineStr">
        <is>
          <t>N/A</t>
        </is>
      </c>
      <c r="G136" s="33" t="inlineStr">
        <is>
          <t>1. Setting → My Balance → Get More → Purchase</t>
        </is>
      </c>
      <c r="H136" s="33" t="inlineStr">
        <is>
          <t>1. Không có bước đăng nhập chen vào
2. Mua thành công, 413 hiển thị "1"</t>
        </is>
      </c>
      <c r="I136" s="34" t="inlineStr">
        <is>
          <t>PASS</t>
        </is>
      </c>
      <c r="J136" s="35" t="inlineStr">
        <is>
          <t>Free user chưa đăng nhập: Setting → My Balance → Get More → Purchase → xác nhận sheet Apple → không có bước đăng nhập chen vào; app tự về 413, thẻ 0 → 1.</t>
        </is>
      </c>
      <c r="K136" s="35" t="inlineStr">
        <is>
          <t>KQ autotest 22/10 (TC cũ #125, lượt buy-test01_pullCancelThenBuyRapidTaps-154643)</t>
        </is>
      </c>
      <c r="L136" s="36" t="inlineStr">
        <is>
          <t>2 ảnh — mở thư mục</t>
        </is>
      </c>
    </row>
    <row r="137" ht="220.5" customHeight="1" s="25">
      <c r="A137" s="31" t="n">
        <v>128</v>
      </c>
      <c r="B137" s="37" t="n"/>
      <c r="C137" s="37" t="n"/>
      <c r="D137" s="32" t="inlineStr">
        <is>
          <t>Đăng nhập Apple sau khi mua — số dư, số lần mua, trạng thái sub đi theo</t>
        </is>
      </c>
      <c r="E137"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free user (chưa mua sub, không có ví quota)
5. Chưa đăng nhập, đã mua 2 topup
6. Có kết nối internet ổn định</t>
        </is>
      </c>
      <c r="F137" s="33" t="inlineStr">
        <is>
          <t>N/A</t>
        </is>
      </c>
      <c r="G137" s="33" t="inlineStr">
        <is>
          <t>1. Đăng nhập bằng tài khoản Apple trong app
2. Vào 413
3. Mua thêm 1 topup, đọc 482</t>
        </is>
      </c>
      <c r="H137" s="33" t="inlineStr">
        <is>
          <t>1. 413 hiển thị "2" sau khi đăng nhập
2. 482 hiển thị N = 3</t>
        </is>
      </c>
      <c r="I137" s="41" t="inlineStr">
        <is>
          <t>Chờ</t>
        </is>
      </c>
      <c r="J137" s="35" t="inlineStr"/>
      <c r="K137" s="35" t="inlineStr">
        <is>
          <t>Chờ người: đăng nhập Apple trong app cần mật khẩu Apple ID</t>
        </is>
      </c>
    </row>
    <row r="138" ht="285.75" customHeight="1" s="25">
      <c r="A138" s="31" t="n">
        <v>129</v>
      </c>
      <c r="B138" s="37" t="n"/>
      <c r="C138" s="39" t="n"/>
      <c r="D138" s="32" t="inlineStr">
        <is>
          <t>2 thiết bị cùng Apple ID đã đăng nhập — dùng chung ví</t>
        </is>
      </c>
      <c r="E138"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subscriber (tài khoản sandbox mua sub mới, chu kỳ bắt đầu hôm nay 2026-10-24)
5. Máy A và B cùng tài khoản đã đăng nhập
6. Bắt đầu sau mốc reset 07:00 giờ VN, chưa gen lần nào trong ngày, không còn topup dư (quota = Q, topup = 0)
7. Xác nhận trước khi test: 413 hiển thị "Q"</t>
        </is>
      </c>
      <c r="F138" s="33" t="inlineStr">
        <is>
          <t>Ví ban đầu: quota = Q · topup = 0</t>
        </is>
      </c>
      <c r="G138" s="33" t="inlineStr">
        <is>
          <t>1. Gen thành công 1 lần trên máy A
2. Trên máy B đưa app về foreground, vào 413</t>
        </is>
      </c>
      <c r="H138" s="33" t="inlineStr">
        <is>
          <t>1. Máy B hiển thị "Q − 1"</t>
        </is>
      </c>
      <c r="I138" s="41" t="inlineStr">
        <is>
          <t>Chờ</t>
        </is>
      </c>
      <c r="J138" s="35" t="inlineStr"/>
      <c r="K138" s="35" t="inlineStr">
        <is>
          <t>Chờ tài nguyên: cần máy thứ 2 cùng Apple ID</t>
        </is>
      </c>
    </row>
    <row r="139" ht="376.5" customHeight="1" s="25">
      <c r="A139" s="31" t="n">
        <v>130</v>
      </c>
      <c r="B139" s="37" t="n"/>
      <c r="C139" s="31" t="inlineStr">
        <is>
          <t>Edge Case</t>
        </is>
      </c>
      <c r="D139" s="32" t="inlineStr">
        <is>
          <t>Gỡ app cài lại — ra đúng bộ ví cũ</t>
        </is>
      </c>
      <c r="E139"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subscriber (tài khoản sandbox mua sub mới, chu kỳ bắt đầu hôm nay 2026-10-24)
5. Bắt đầu sau mốc reset 07:00 giờ VN, chưa gen lần nào trong ngày, không còn topup dư (quota = Q, topup = 0)
6. Gen thành công Q lần (dùng Enhance cho nhanh) để quota còn 0
7. Sau khi gen xong mới mua 2 lượt topup qua 413 → Get More (topup bị tiêu trước nên phải mua sau)
8. Xác nhận trước khi test: 413 hiển thị "2", màn topup hiển thị "2 top-up creations left"
9. Có kết nối internet ổn định</t>
        </is>
      </c>
      <c r="F139" s="33" t="inlineStr">
        <is>
          <t>Ví ban đầu: quota = 0 · topup = 2</t>
        </is>
      </c>
      <c r="G139" s="33" t="inlineStr">
        <is>
          <t>1. Ghi lại App User ID
2. Gỡ app, cài lại, mở app
3. Vào 413, bấm Generate</t>
        </is>
      </c>
      <c r="H139" s="33" t="inlineStr">
        <is>
          <t>1. App User ID giống hệt trước khi gỡ
2. 413 hiển thị "2" (quota không reset về Q)
3. Gen trừ topup</t>
        </is>
      </c>
      <c r="I139" s="34" t="inlineStr">
        <is>
          <t>PASS</t>
        </is>
      </c>
      <c r="J139" s="35" t="inlineStr">
        <is>
          <t>trước gỡ 413=1 · sau cài lại 413=1 (quota 0, topup 1, có gói=true) · gen result → topup 0 (App User ID: Debug không hiển thị — so bằng ví)</t>
        </is>
      </c>
      <c r="K139" s="35" t="inlineStr">
        <is>
          <t>KQ autotest 22/10 (TC cũ #128, lượt sub-reinstall128-182022)</t>
        </is>
      </c>
    </row>
    <row r="140" ht="234" customHeight="1" s="25">
      <c r="A140" s="31" t="n">
        <v>131</v>
      </c>
      <c r="B140" s="37" t="n"/>
      <c r="C140" s="37" t="n"/>
      <c r="D140" s="32" t="inlineStr">
        <is>
          <t>Gỡ toàn bộ app cùng vendor rồi cài lại — ID không đổi (không dùng identifierForVendor)</t>
        </is>
      </c>
      <c r="E140"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subscriber (tài khoản sandbox mua sub mới, chu kỳ bắt đầu hôm nay 2026-10-24)
5. Máy chỉ có app Genius của vendor Apero
6. Có kết nối internet ổn định</t>
        </is>
      </c>
      <c r="F140" s="33" t="inlineStr">
        <is>
          <t>N/A</t>
        </is>
      </c>
      <c r="G140" s="33" t="inlineStr">
        <is>
          <t>1. Ghi App User ID
2. Gỡ app, cài lại</t>
        </is>
      </c>
      <c r="H140" s="33" t="inlineStr">
        <is>
          <t>1. App User ID không đổi</t>
        </is>
      </c>
      <c r="I140" s="34" t="inlineStr">
        <is>
          <t>PASS</t>
        </is>
      </c>
      <c r="J140" s="35" t="inlineStr">
        <is>
          <t>KQ: App User ID trước gỡ app=62007A49-D5B9-4F7E-BD43-81D58D1F64FA</t>
        </is>
      </c>
      <c r="K140" s="35" t="inlineStr">
        <is>
          <t>Autotest vòng 2 24/10 · lượt r2fin-n131-sau-124131 · CHẤM TAY: Chấm tay: App User ID trước gỡ app = sau cài lại = 62007A49-D5B9-4F7E-BD43-81D58D1F64FA (log 'App uninstalled.' 25/10 12:40); test tự chấm FAIL do chuỗi ID đọc từ log dính '\r'. deviceId lưu Keychain — GetDeviceIdProvider.swift:8–21, không dùng identifierForVendor.</t>
        </is>
      </c>
      <c r="L140" s="36" t="inlineStr">
        <is>
          <t>6 ảnh — mở thư mục</t>
        </is>
      </c>
    </row>
    <row r="141" ht="195" customHeight="1" s="25">
      <c r="A141" s="31" t="n">
        <v>132</v>
      </c>
      <c r="B141" s="37" t="n"/>
      <c r="C141" s="37" t="n"/>
      <c r="D141" s="32" t="inlineStr">
        <is>
          <t>2 thiết bị chưa đăng nhập — 2 bộ ví độc lập (đã chấp nhận)</t>
        </is>
      </c>
      <c r="E141"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2 máy, cùng 1 người, đều chưa đăng nhập, cùng là subscriber
5. Có kết nối internet ổn định</t>
        </is>
      </c>
      <c r="F141" s="33" t="inlineStr">
        <is>
          <t>N/A</t>
        </is>
      </c>
      <c r="G141" s="33" t="inlineStr">
        <is>
          <t>1. Kiểm 413 trên mỗi máy</t>
        </is>
      </c>
      <c r="H141" s="33" t="inlineStr">
        <is>
          <t>1. Mỗi máy có App User ID riêng và bộ ví riêng</t>
        </is>
      </c>
      <c r="I141" s="41" t="inlineStr">
        <is>
          <t>Chờ</t>
        </is>
      </c>
      <c r="J141" s="35" t="inlineStr"/>
      <c r="K141" s="35" t="inlineStr">
        <is>
          <t>Chờ tài nguyên: cần máy thứ 2 cùng Apple ID</t>
        </is>
      </c>
    </row>
    <row r="142" ht="195" customHeight="1" s="25">
      <c r="A142" s="31" t="n">
        <v>133</v>
      </c>
      <c r="B142" s="37" t="n"/>
      <c r="C142" s="37" t="n"/>
      <c r="D142" s="32" t="inlineStr">
        <is>
          <t>Chưa đăng nhập đổi máy — mất số dư topup (giới hạn đã chấp nhận)</t>
        </is>
      </c>
      <c r="E142"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free user (chưa mua sub, không có ví quota)
5. Máy A chưa đăng nhập, topup_balance = 2</t>
        </is>
      </c>
      <c r="F142" s="33" t="inlineStr">
        <is>
          <t>N/A</t>
        </is>
      </c>
      <c r="G142" s="33" t="inlineStr">
        <is>
          <t>1. Cài app trên máy B, mở app
2. Vào 413</t>
        </is>
      </c>
      <c r="H142" s="33" t="inlineStr">
        <is>
          <t>1. Máy B hiển thị "0"</t>
        </is>
      </c>
      <c r="I142" s="41" t="inlineStr">
        <is>
          <t>Chờ</t>
        </is>
      </c>
      <c r="J142" s="35" t="inlineStr"/>
      <c r="K142" s="35" t="inlineStr">
        <is>
          <t>Chờ tài nguyên: cần máy B chưa đăng nhập</t>
        </is>
      </c>
    </row>
    <row r="143" ht="181.5" customHeight="1" s="25">
      <c r="A143" s="31" t="n">
        <v>134</v>
      </c>
      <c r="B143" s="39" t="n"/>
      <c r="C143" s="39" t="n"/>
      <c r="D143" s="32" t="inlineStr">
        <is>
          <t>Erase All Content and Settings — coi như user mới</t>
        </is>
      </c>
      <c r="E143"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Thiết bị test đã có ví
5. Có kết nối internet ổn định</t>
        </is>
      </c>
      <c r="F143" s="33" t="inlineStr">
        <is>
          <t>N/A</t>
        </is>
      </c>
      <c r="G143" s="33" t="inlineStr">
        <is>
          <t>1. Erase All Content and Settings
2. Cài app, mở</t>
        </is>
      </c>
      <c r="H143" s="33" t="inlineStr">
        <is>
          <t>1. App sinh App User ID mới
2. 413 hiển thị số dư user mới</t>
        </is>
      </c>
      <c r="I143" s="41" t="inlineStr">
        <is>
          <t>Chờ</t>
        </is>
      </c>
      <c r="J143" s="35" t="inlineStr"/>
      <c r="K143" s="35" t="inlineStr">
        <is>
          <t>Không tự làm: Erase All Content and Settings xoá máy test — cần người quyết</t>
        </is>
      </c>
    </row>
    <row r="144" ht="15.75" customHeight="1" s="25">
      <c r="A144" s="30" t="inlineStr">
        <is>
          <t>▌ 12. Cấu hình số lượt/ngày trên CMS</t>
        </is>
      </c>
    </row>
    <row r="145" ht="246.75" customHeight="1" s="25">
      <c r="A145" s="31" t="n">
        <v>136</v>
      </c>
      <c r="B145" s="31" t="n"/>
      <c r="C145" s="31" t="inlineStr">
        <is>
          <t>Logic</t>
        </is>
      </c>
      <c r="D145" s="32" t="inlineStr">
        <is>
          <t>Firebase RC không còn key daily_quota_amount — app lấy Q từ BE</t>
        </is>
      </c>
      <c r="E145"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subscriber (tài khoản sandbox mua sub mới, chu kỳ bắt đầu hôm nay 2026-10-24)
5. Có kết nối internet ổn định
6. Bắt traffic qua proxy
7. PO đặt Q = 15 trên CMS</t>
        </is>
      </c>
      <c r="F145" s="33" t="inlineStr">
        <is>
          <t>N/A</t>
        </is>
      </c>
      <c r="G145" s="33" t="inlineStr">
        <is>
          <t>1. Mở app, xem payload Firebase Remote Config
2. Chờ qua mốc reset 07:00 giờ VN, vào 413</t>
        </is>
      </c>
      <c r="H145" s="33" t="inlineStr">
        <is>
          <t>1. Payload RC không có key daily_quota_amount
2. 413 hiển thị "15" (số lấy từ BE / CMS)</t>
        </is>
      </c>
      <c r="I145" s="41" t="inlineStr">
        <is>
          <t>Chờ</t>
        </is>
      </c>
      <c r="J145" s="35" t="inlineStr"/>
      <c r="K145" s="35" t="inlineStr">
        <is>
          <t>Phần app: key daily_quota_amount đã gỡ khỏi RemoteConfigKeys.swift:216–218 (đọc code); 413=15 cần PO đặt Q=15 trên CMS — Chờ PO</t>
        </is>
      </c>
    </row>
    <row r="146" ht="207.75" customHeight="1" s="25">
      <c r="A146" s="31" t="n">
        <v>137</v>
      </c>
      <c r="B146" s="31" t="n"/>
      <c r="C146" s="37" t="n"/>
      <c r="D146" s="32" t="inlineStr">
        <is>
          <t>PO đặt số lượt hợp lệ trên CMS — áp dụng sau reset</t>
        </is>
      </c>
      <c r="E146"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subscriber (tài khoản sandbox mua sub mới, chu kỳ bắt đầu hôm nay 2026-10-24)
5. Có kết nối internet ổn định</t>
        </is>
      </c>
      <c r="F146" s="33" t="inlineStr">
        <is>
          <t>20 (default)
Lặp cho: 1 (min)
25</t>
        </is>
      </c>
      <c r="G146" s="33" t="inlineStr">
        <is>
          <t>1. PO đặt số lượt/ngày trên CMS theo Test data
2. Chờ qua mốc reset 07:00 giờ VN
3. Vào 413
4. Gen thành công đúng số lượt đó, bấm Generate thêm 1 lần</t>
        </is>
      </c>
      <c r="H146" s="33" t="inlineStr">
        <is>
          <t>1. 413 hiển thị đúng giá trị Test data
2. Lần gen vượt số lượt hiện 481</t>
        </is>
      </c>
      <c r="I146" s="41" t="inlineStr">
        <is>
          <t>Chờ</t>
        </is>
      </c>
      <c r="J146" s="35" t="inlineStr"/>
      <c r="K146" s="35" t="inlineStr">
        <is>
          <t>Chờ PO: đổi số lượt/ngày (Q) trên CMS</t>
        </is>
      </c>
    </row>
    <row r="147" ht="246.75" customHeight="1" s="25">
      <c r="A147" s="31" t="n">
        <v>138</v>
      </c>
      <c r="B147" s="31" t="n"/>
      <c r="C147" s="37" t="n"/>
      <c r="D147" s="32" t="inlineStr">
        <is>
          <t>App và BE chặn cùng một ngưỡng từ CMS  [Cần BE hỗ trợ]</t>
        </is>
      </c>
      <c r="E147"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subscriber (tài khoản sandbox mua sub mới, chu kỳ bắt đầu hôm nay 2026-10-24)
5. Có kết nối internet ổn định
6. PO đặt Q = 15 trên CMS
7. Script gọi API gen trực tiếp</t>
        </is>
      </c>
      <c r="F147" s="33" t="inlineStr">
        <is>
          <t>N/A</t>
        </is>
      </c>
      <c r="G147" s="33" t="inlineStr">
        <is>
          <t>1. Chờ qua mốc reset 07:00 giờ VN
2. Gen thành công 15 lần trên app
3. Bấm Generate lần 16 trên app
4. Gọi thẳng API gen lần 16</t>
        </is>
      </c>
      <c r="H147" s="33" t="inlineStr">
        <is>
          <t>1. App hiện 481 ở lần 16
2. BE trả ERR12 cho request gọi thẳng</t>
        </is>
      </c>
      <c r="I147" s="43" t="inlineStr">
        <is>
          <t>Cần xem</t>
        </is>
      </c>
      <c r="J147" s="35" t="inlineStr">
        <is>
          <t>KQ: Phía app: chặn ở lượt Q+1 với Q=20 lấy từ BE (quotaLimit=20) — 481 hiện trước khi gọi gen. Phía BE (ngưỡng CMS, ERR12): cần BE xác nhận</t>
        </is>
      </c>
      <c r="K147" s="35" t="inlineStr">
        <is>
          <t>Autotest vòng 2 24/10 · lượt r2sub-test08-tu-bang-chung-192800</t>
        </is>
      </c>
    </row>
    <row r="148" ht="156" customHeight="1" s="25">
      <c r="A148" s="31" t="n">
        <v>139</v>
      </c>
      <c r="B148" s="31" t="n"/>
      <c r="C148" s="39" t="n"/>
      <c r="D148" s="32" t="inlineStr">
        <is>
          <t>Copy số lượt/ngày lấy theo giá trị CMS</t>
        </is>
      </c>
      <c r="E148"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Có kết nối internet ổn định</t>
        </is>
      </c>
      <c r="F148" s="33" t="inlineStr">
        <is>
          <t>25
Lặp cho: 20 (default)
10</t>
        </is>
      </c>
      <c r="G148" s="33" t="inlineStr">
        <is>
          <t>1. PO đặt số lượt/ngày trên CMS theo Test data, kill app mở lại
2. Free user mở paywall sub, đọc dòng chính
3. Mua sub, đọc màn Chào mừng
4. Free user khác mua topup, đọc 482</t>
        </is>
      </c>
      <c r="H148" s="33" t="inlineStr">
        <is>
          <t>1. Mọi chỗ hiển thị đúng số lượt = giá trị Test data: "{giá trị} lần tạo mỗi ngày, làm mới tự động", "Chào mừng! Bạn có {giá trị} lần tạo mỗi ngày.", 482 "...cho bạn {giá trị} lần tạo mỗi ngày…"</t>
        </is>
      </c>
      <c r="I148" s="41" t="inlineStr">
        <is>
          <t>Chờ</t>
        </is>
      </c>
      <c r="J148" s="35" t="inlineStr"/>
      <c r="K148" s="35" t="inlineStr">
        <is>
          <t>Chờ PO: đổi số lượt/ngày (Q) trên CMS</t>
        </is>
      </c>
    </row>
    <row r="149" ht="15.75" customHeight="1" s="25">
      <c r="A149" s="30" t="inlineStr">
        <is>
          <t>▌ 13. Remote Config (Firebase)</t>
        </is>
      </c>
    </row>
    <row r="150" ht="103.5" customHeight="1" s="25">
      <c r="A150" s="31" t="n">
        <v>143</v>
      </c>
      <c r="B150" s="31" t="inlineStr">
        <is>
          <t>Remote Config (Firebase)</t>
        </is>
      </c>
      <c r="C150" s="31" t="inlineStr">
        <is>
          <t>Validate</t>
        </is>
      </c>
      <c r="D150" s="32" t="inlineStr">
        <is>
          <t>topup_offer_max_per_day giá trị biên/không hợp lệ</t>
        </is>
      </c>
      <c r="E150" s="33" t="inlineStr">
        <is>
          <t>1. User là free user (chưa mua sub, không có ví quota)
2. topup_balance = 0
3. Có kết nối internet ổn định
4. Đang ở màn Upload của feature i2i, đã chọn ảnh và style</t>
        </is>
      </c>
      <c r="F150" s="33" t="inlineStr">
        <is>
          <t>0
-1
"abc"</t>
        </is>
      </c>
      <c r="G150" s="33" t="inlineStr">
        <is>
          <t>1. Đặt RC theo Test data
2. Generate → đóng paywall → đóng Last-chance</t>
        </is>
      </c>
      <c r="H150" s="33" t="inlineStr">
        <is>
          <t>1. Hiện paywall topup với số lần default trong code</t>
        </is>
      </c>
      <c r="I150" s="34" t="inlineStr">
        <is>
          <t>PASS</t>
        </is>
      </c>
      <c r="J150" s="35" t="inlineStr">
        <is>
          <t>1: RC ép topup_offer_max_per_day='-1' · enable_topup=true · offer hiện lần 1/2/3 = có/không/không · default code = 1 ‖ 0: RC ép topup_offer_max_per_day='0' · enable_topup=true · offer hiện lần 1/2/3 = có/không/không · default code = 1 ‖ abc: RC ép topup_offer_max_per_day='abc' · enable_topup=true · offer hiện lần 1/2/3 = có/không/không · default code = 1</t>
        </is>
      </c>
      <c r="K150" s="35" t="inlineStr">
        <is>
          <t>Autotest vòng 2 24/10 · lượt r2rc-offer--1-164108, r2rc-offer-0-163445, r2rc-offer-abc-164747 · CHẤM TAY: Ghi chú: hasShownTopupOfferToday (CreditQuotaBalanceProvider.swift:56–62) trả false khi hôm nay chưa chào lần nào, không xét max → mọi giá trị max (kể cả 0 / -1 / 'abc') vẫn cho hiện offer lần đầu trong ngày; hành vi đo được = default code 1. Với '-1' app LƯU -1 (khác 0/'abc' bị bỏ qua) nhưng không quan sát được khác biệt.</t>
        </is>
      </c>
      <c r="L150" s="36" t="inlineStr">
        <is>
          <t>6 ảnh — mở thư mục</t>
        </is>
      </c>
    </row>
    <row r="151" ht="64.5" customHeight="1" s="25">
      <c r="A151" s="31" t="n">
        <v>144</v>
      </c>
      <c r="B151" s="37" t="n"/>
      <c r="C151" s="39" t="n"/>
      <c r="D151" s="32" t="inlineStr">
        <is>
          <t>quota_grandfather_until sai định dạng ISO 8601</t>
        </is>
      </c>
      <c r="E151" s="33" t="inlineStr">
        <is>
          <t>1. User là subscriber (tài khoản sandbox mua sub mới, chu kỳ bắt đầu hôm nay 2026-10-24)
2. Có kết nối internet ổn định</t>
        </is>
      </c>
      <c r="F151" s="33" t="inlineStr">
        <is>
          <t>"01/11/2026"
"abc"
"2026-13-45"</t>
        </is>
      </c>
      <c r="G151" s="33" t="inlineStr">
        <is>
          <t>1. Đặt quota_grandfather_until theo Test data
2. Mở app, vào 413</t>
        </is>
      </c>
      <c r="H151" s="33" t="inlineStr">
        <is>
          <t>1. Hiện theo giá trị quota_grandfather_until trong code</t>
        </is>
      </c>
      <c r="I151" s="34" t="inlineStr">
        <is>
          <t>PASS</t>
        </is>
      </c>
      <c r="J151" s="35" t="inlineStr">
        <is>
          <t>2026-13-45: RC ép='2026-13-45' · giá trị app đang dùng=2026-13-45 · tier=creditV3 · isUnlimitedGen=false · 413=0 · gen: 481, - ‖ abc: RC ép='abc' · giá trị app đang dùng=abc · tier=creditV3 · isUnlimitedGen=false · 413=0 · gen: 481, - ‖ ddmmyyyy: RC ép='ddmmyyyy' · giá trị app đang dùng=01/11/2026 · tier=creditV3 · isUnlimitedGen=false · 413=0 · gen: 481, -</t>
        </is>
      </c>
      <c r="K151" s="35" t="inlineStr">
        <is>
          <t>Autotest vòng 2 24/10 · lượt r2fin-rc-2026-13-45-125439, r2fin-rc-abc-125057, r2fin-rc-ddmmyyyy-124713 · CHẤM TAY: 3 giá trị sai định dạng ('01/11/2026', 'abc', '2026-13-45') ép trong code: app LƯU nguyên chuỗi, parse fail → không grandfather ai → tier=creditV3, áp quota (ví 0 → 481). Với sub mua hôm nay, kết quả trùng với default code 2026-08-11 nên đạt Expected; lưu ý app không quay về giá trị default mà xử như 'không grandfather' (GeniusApiVersionRouter.swift:99–101).</t>
        </is>
      </c>
    </row>
    <row r="152" ht="90.75" customHeight="1" s="25">
      <c r="A152" s="31" t="n">
        <v>145</v>
      </c>
      <c r="B152" s="37" t="n"/>
      <c r="C152" s="31" t="inlineStr">
        <is>
          <t>Config / Remote Config</t>
        </is>
      </c>
      <c r="D152" s="32" t="inlineStr">
        <is>
          <t>enable_daily_quota = false — giữ hành vi hiện tại</t>
        </is>
      </c>
      <c r="E152" s="33" t="inlineStr">
        <is>
          <t>1. RC: enable_daily_quota = false
2. User là subscriber (tài khoản sandbox mua sub mới, chu kỳ bắt đầu hôm nay 2026-10-24)
3. Có kết nối internet ổn định</t>
        </is>
      </c>
      <c r="F152" s="33" t="inlineStr">
        <is>
          <t>N/A</t>
        </is>
      </c>
      <c r="G152" s="33" t="inlineStr">
        <is>
          <t>1. Mở Home
2. Gen Q + 1 lần
3. Mở Setting</t>
        </is>
      </c>
      <c r="H152" s="33" t="inlineStr">
        <is>
          <t>1. Không có badge, gen không bị chặn, không hiện 481</t>
        </is>
      </c>
      <c r="I152" s="42" t="inlineStr">
        <is>
          <t>Lệch spec</t>
        </is>
      </c>
      <c r="J152" s="35" t="inlineStr">
        <is>
          <t>Theo code: app đã gỡ key `enable_daily_quota` / `daily_quota_amount` (`RemoteConfigKeys.swift:214-218` — hạn mức đọc từ BE `credits.subscription.dailyQuota`). Đổi 2 key này trên Firebase không có tác dụng phía app → hành vi TC giả định không còn tồn tại; PO/BE chốt nguồn config (Spec Q&amp;A #3). Không đổi RC để chạy.</t>
        </is>
      </c>
      <c r="K152" s="35" t="inlineStr">
        <is>
          <t>KQ autotest 22/10 (TC cũ #136, lượt đọc code) · chấm lại theo Expected mới: Key enable_daily_quota đã gỡ khỏi app (RemoteConfigKeys.swift:216–218) — không đổi được trong code.</t>
        </is>
      </c>
    </row>
    <row r="153" ht="312" customHeight="1" s="25">
      <c r="A153" s="31" t="n">
        <v>146</v>
      </c>
      <c r="B153" s="37" t="n"/>
      <c r="C153" s="37" t="n"/>
      <c r="D153" s="32" t="inlineStr">
        <is>
          <t>enable_daily_quota đổi true → false khi app đang chạy</t>
        </is>
      </c>
      <c r="E153"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subscriber (tài khoản sandbox mua sub mới, chu kỳ bắt đầu hôm nay 2026-10-24)
5. Bắt đầu sau mốc reset 07:00 giờ VN, chưa gen lần nào trong ngày, không còn topup dư (quota = Q, topup = 0)
6. Gen thành công Q lần (dùng Enhance cho nhanh) để quota còn 0
7. Xác nhận trước khi test: 413 hiển thị "0"
8. Có kết nối internet ổn định</t>
        </is>
      </c>
      <c r="F153" s="33" t="inlineStr">
        <is>
          <t>Ví ban đầu: quota = 0 · topup = 0</t>
        </is>
      </c>
      <c r="G153" s="33" t="inlineStr">
        <is>
          <t>1. Đổi RC enable_daily_quota = false
2. Đưa app về foreground (fetch RC)
3. Bấm Generate</t>
        </is>
      </c>
      <c r="H153" s="33" t="inlineStr">
        <is>
          <t xml:space="preserve">1. app không bị crash. </t>
        </is>
      </c>
      <c r="I153" s="42" t="inlineStr">
        <is>
          <t>Lệch spec</t>
        </is>
      </c>
      <c r="J153" s="35" t="inlineStr">
        <is>
          <t>Theo code: app đã gỡ key `enable_daily_quota` / `daily_quota_amount` (`RemoteConfigKeys.swift:214-218` — hạn mức đọc từ BE `credits.subscription.dailyQuota`). Đổi 2 key này trên Firebase không có tác dụng phía app → hành vi TC giả định không còn tồn tại; PO/BE chốt nguồn config (Spec Q&amp;A #3). Không đổi RC để chạy.</t>
        </is>
      </c>
      <c r="K153" s="35" t="inlineStr">
        <is>
          <t>KQ autotest 22/10 (TC cũ #137, lượt đọc code) · chấm lại theo Expected mới: như 145</t>
        </is>
      </c>
    </row>
    <row r="154" ht="64.5" customHeight="1" s="25">
      <c r="A154" s="31" t="n">
        <v>147</v>
      </c>
      <c r="B154" s="37" t="n"/>
      <c r="C154" s="37" t="n"/>
      <c r="D154" s="32" t="inlineStr">
        <is>
          <t>enable_topup = false</t>
        </is>
      </c>
      <c r="E154" s="33" t="inlineStr">
        <is>
          <t>1. RC: enable_daily_quota = true · enable_topup = false
2. Có kết nối internet ổn định</t>
        </is>
      </c>
      <c r="F154" s="33" t="inlineStr">
        <is>
          <t>N/A</t>
        </is>
      </c>
      <c r="G154" s="33" t="inlineStr">
        <is>
          <t>1. Vào 413 (subscriber)
2. Subscriber hết 2 ví bấm Generate → 481
3. Free user đóng xong chuỗi paywall</t>
        </is>
      </c>
      <c r="H154" s="33" t="inlineStr">
        <is>
          <t>1. Get More 'luôn hiện', CTA 'Mua thêm' ở 481, màn topup offer xử lý thế nào khi tắt topup]</t>
        </is>
      </c>
      <c r="I154" s="42" t="inlineStr">
        <is>
          <t>Lệch spec</t>
        </is>
      </c>
      <c r="J154" s="35" t="inlineStr">
        <is>
          <t>KQ: enable_topup=false · 413 Get More=true · chuỗi free: paywall: App Store · Editor's Choice · Meet Your Best Version  · AI Face Retouching &amp; Enhancement · 500+ Beauty Filters &amp; Effects · HD Export Without Watermark · 20 AI creations every day, refreshed automatically · Weekly → lastchance: 🎉 Limited Offer: 50% OFF Today · Generate unlimited hairstyles with AI · Cancel anytime. · Close · Now only 199.000đ/week · Claim limited time offer · Restore  · Terms → topup: App Store · Editor's Choice · Still not ready to subscribe? · Includes 1 AI creation · One-time purchase only · No subscription or auto-renewal · Instant access after purchase · 0.99$ · (481 'Mua thêm' của subscriber: chạy ở phần sub) — Expected TC còn mơ hồ ('xử lý thế nào khi tắt topup')</t>
        </is>
      </c>
      <c r="K154" s="35" t="inlineStr">
        <is>
          <t>Autotest vòng 2 24/10 · lượt r2rc-enable-topup-off-170054 · CHẤM TAY: enable_topup=false (Debug xác nhận): 413 vẫn hiện Get More; chuỗi free vẫn chào màn topup offer (PaywallView.swift:290 chỉ xét hasShownTopupOfferToday, không xét enable_topup); trong khi dialog 481 bị ẩn (OutOfQuotaDialog.swift:38–41 'PO chốt') và màn 214 không có gói + từ chối mua (CreditQuotaBalanceProvider.swift:37,88). Expected TC chưa định nghĩa (còn chữ ambiguity) → hỏi PO: tắt topup thì offer free &amp; Get More có ẩn không.</t>
        </is>
      </c>
      <c r="L154" s="36" t="inlineStr">
        <is>
          <t>6 ảnh — mở thư mục</t>
        </is>
      </c>
    </row>
    <row r="155" ht="129.75" customHeight="1" s="25">
      <c r="A155" s="31" t="n">
        <v>148</v>
      </c>
      <c r="B155" s="37" t="n"/>
      <c r="C155" s="37" t="n"/>
      <c r="D155" s="32" t="inlineStr">
        <is>
          <t>topup_offer_max_per_day = 2</t>
        </is>
      </c>
      <c r="E155" s="33" t="inlineStr">
        <is>
          <t>1. RC: topup_offer_max_per_day = 2
2. User là free user (chưa mua sub, không có ví quota)
3. topup_balance = 0
4. Có kết nối internet ổn định
5. Đang ở màn Upload của feature i2i, đã chọn ảnh và style</t>
        </is>
      </c>
      <c r="F155" s="33" t="inlineStr">
        <is>
          <t>N/A</t>
        </is>
      </c>
      <c r="G155" s="33" t="inlineStr">
        <is>
          <t>1. Generate → đóng paywall → đóng Last-chance → "Không, cảm ơn"
2. Lặp lại lần 2
3. Lặp lại lần 3</t>
        </is>
      </c>
      <c r="H155" s="33" t="inlineStr">
        <is>
          <t>1. Lần 1 và 2: màn topup offer hiển thị
2. Lần 3: không hiển thị, không gen</t>
        </is>
      </c>
      <c r="I155" s="34" t="inlineStr">
        <is>
          <t>PASS</t>
        </is>
      </c>
      <c r="J155" s="35" t="inlineStr">
        <is>
          <t>KQ: RC ép topup_offer_max_per_day='2' · enable_topup=true · offer hiện lần 1/2/3 = có/có/không</t>
        </is>
      </c>
      <c r="K155" s="35" t="inlineStr">
        <is>
          <t>Autotest vòng 2 24/10 · lượt r2rc-offer-2-165419</t>
        </is>
      </c>
      <c r="L155" s="36" t="inlineStr">
        <is>
          <t>6 ảnh — mở thư mục</t>
        </is>
      </c>
    </row>
    <row r="156" ht="64.5" customHeight="1" s="25">
      <c r="A156" s="31" t="n">
        <v>149</v>
      </c>
      <c r="B156" s="39" t="n"/>
      <c r="C156" s="39" t="n"/>
      <c r="D156" s="32" t="inlineStr">
        <is>
          <t>Fetch RC thất bại — dùng default an toàn</t>
        </is>
      </c>
      <c r="E156" s="33" t="inlineStr">
        <is>
          <t>1. Chặn domain Firebase RC, app cài mới
2. User là subscriber (tài khoản sandbox mua sub mới, chu kỳ bắt đầu hôm nay 2026-10-24)</t>
        </is>
      </c>
      <c r="F156" s="33" t="inlineStr">
        <is>
          <t>N/A</t>
        </is>
      </c>
      <c r="G156" s="33" t="inlineStr">
        <is>
          <t>1. Mở app
2. Gen nhiều hơn 20 lần (default)</t>
        </is>
      </c>
      <c r="H156" s="33" t="inlineStr">
        <is>
          <t xml:space="preserve">1. App dùng default enable_daily_quota = false → không áp quota phía app
</t>
        </is>
      </c>
      <c r="I156" s="42" t="inlineStr">
        <is>
          <t>Lệch spec</t>
        </is>
      </c>
      <c r="J156" s="35" t="inlineStr">
        <is>
          <t>Theo code: app đã gỡ key `enable_daily_quota` / `daily_quota_amount` (`RemoteConfigKeys.swift:214-218` — hạn mức đọc từ BE `credits.subscription.dailyQuota`). Đổi 2 key này trên Firebase không có tác dụng phía app → hành vi TC giả định không còn tồn tại; PO/BE chốt nguồn config (Spec Q&amp;A #3). Không đổi RC để chạy.</t>
        </is>
      </c>
      <c r="K156" s="35" t="inlineStr">
        <is>
          <t>KQ autotest 22/10 (TC cũ #142, lượt đọc code) · chấm lại theo Expected mới: như 145</t>
        </is>
      </c>
    </row>
    <row r="157" ht="15.75" customHeight="1" s="25">
      <c r="A157" s="30" t="inlineStr">
        <is>
          <t>▌ 14. Copy, Paywall &amp; Policy</t>
        </is>
      </c>
    </row>
    <row r="158" ht="195" customHeight="1" s="25">
      <c r="A158" s="31" t="n">
        <v>150</v>
      </c>
      <c r="B158" s="31" t="inlineStr">
        <is>
          <t>Copy, Paywall &amp; Policy</t>
        </is>
      </c>
      <c r="C158" s="31" t="inlineStr">
        <is>
          <t>UI</t>
        </is>
      </c>
      <c r="D158" s="32" t="inlineStr">
        <is>
          <t>Paywall sub — gỡ chữ Unlimited, dòng chính mới</t>
        </is>
      </c>
      <c r="E158"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free user (chưa mua sub, không có ví quota)
5. Có kết nối internet ổn định</t>
        </is>
      </c>
      <c r="F158" s="33" t="inlineStr">
        <is>
          <t>N/A</t>
        </is>
      </c>
      <c r="G158" s="33" t="inlineStr">
        <is>
          <t>1. Mở lần lượt paywall sub ở mọi touchpoint (feature, Home, Setting)</t>
        </is>
      </c>
      <c r="H158" s="33" t="inlineStr">
        <is>
          <t>1. Không xuất hiện chữ "Unlimited"
2. Dòng chính: "Q lần tạo mỗi ngày, làm mới tự động"</t>
        </is>
      </c>
      <c r="I158" s="38" t="inlineStr">
        <is>
          <t>FAIL</t>
        </is>
      </c>
      <c r="J158" s="35" t="inlineStr">
        <is>
          <t>Paywall sub (Home): không có 'Unlimited', có dòng '20 AI creations every day, refreshed automatically' (đúng nghĩa dòng chính mới). Nhưng paywall Last-chance (chuỗi feature i2i) vẫn ghi 'Generate unlimited hairstyles with AI' → còn chữ Unlimited ở 1 touchpoint sub.</t>
        </is>
      </c>
      <c r="K158" s="35" t="inlineStr">
        <is>
          <t>KQ autotest 22/10 (TC cũ #144, lượt free-test05_subPaywallCopyAndPolicy-153721)</t>
        </is>
      </c>
      <c r="L158" s="36" t="inlineStr">
        <is>
          <t>1 ảnh — mở thư mục</t>
        </is>
      </c>
    </row>
    <row r="159" ht="195" customHeight="1" s="25">
      <c r="A159" s="31" t="n">
        <v>151</v>
      </c>
      <c r="B159" s="37" t="n"/>
      <c r="C159" s="37" t="n"/>
      <c r="D159" s="32" t="inlineStr">
        <is>
          <t>Sau thanh toán sub thành công</t>
        </is>
      </c>
      <c r="E159"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free user (chưa mua sub, không có ví quota)
5. Có kết nối internet ổn định</t>
        </is>
      </c>
      <c r="F159" s="33" t="inlineStr">
        <is>
          <t>N/A</t>
        </is>
      </c>
      <c r="G159" s="33" t="inlineStr">
        <is>
          <t>1. Mua gói Weekly thành công</t>
        </is>
      </c>
      <c r="H159" s="33" t="inlineStr">
        <is>
          <t>1. Hiển thị "Chào mừng! Bạn có Q lần tạo mỗi ngày."</t>
        </is>
      </c>
      <c r="I159" s="38" t="inlineStr">
        <is>
          <t>FAIL</t>
        </is>
      </c>
      <c r="J159" s="35" t="inlineStr">
        <is>
          <t>Mua Yearly thành công trên paywall feature → app chuyển thẳng màn Generating (gen nối tiếp), không có thông báo 'Chào mừng! Bạn có 20 lần tạo mỗi ngày.' / bản EN tương đương.</t>
        </is>
      </c>
      <c r="K159" s="35" t="inlineStr">
        <is>
          <t>KQ autotest 22/10 (TC cũ #145, lượt sub-test01_buySubOnFeaturePaywall-163149)</t>
        </is>
      </c>
      <c r="L159" s="36" t="inlineStr">
        <is>
          <t>1 ảnh — mở thư mục</t>
        </is>
      </c>
    </row>
    <row r="160" ht="195" customHeight="1" s="25">
      <c r="A160" s="31" t="n">
        <v>152</v>
      </c>
      <c r="B160" s="37" t="n"/>
      <c r="C160" s="37" t="n"/>
      <c r="D160" s="32" t="inlineStr">
        <is>
          <t>Paywall sub đủ thông tin policy</t>
        </is>
      </c>
      <c r="E160"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free user (chưa mua sub, không có ví quota)
5. Có kết nối internet ổn định</t>
        </is>
      </c>
      <c r="F160" s="33" t="inlineStr">
        <is>
          <t>N/A</t>
        </is>
      </c>
      <c r="G160" s="33" t="inlineStr">
        <is>
          <t>1. Mở paywall sub
2. Quan sát đầy đủ màn</t>
        </is>
      </c>
      <c r="H160" s="33" t="inlineStr">
        <is>
          <t>1. Có giá, quyền lợi (Q lần tạo/ngày), thời hạn Weekly/Yearly
2. Có "Cancel anytime" hoặc tương đương
3. Có link Privacy Policy + Terms of Use mở đúng trang
4. Có nút Restore (iOS)</t>
        </is>
      </c>
      <c r="I160" s="34" t="inlineStr">
        <is>
          <t>PASS</t>
        </is>
      </c>
      <c r="J160" s="35" t="inlineStr">
        <is>
          <t>Paywall sub: giá (1.199.000đ/year, 299.000đ/week), Yearly/Weekly, 'Cancel anytime', Privacy, Terms, Restore, quyền lợi '20 AI creations every day, refreshed automatically'. Mở link Privacy/Terms đúng trang: chưa kiểm.</t>
        </is>
      </c>
      <c r="K160" s="35" t="inlineStr">
        <is>
          <t>KQ autotest 22/10 (TC cũ #146, lượt free-test05_subPaywallCopyAndPolicy-153721)</t>
        </is>
      </c>
      <c r="L160" s="36" t="inlineStr">
        <is>
          <t>1 ảnh — mở thư mục</t>
        </is>
      </c>
    </row>
    <row r="161" ht="207.75" customHeight="1" s="25">
      <c r="A161" s="31" t="n">
        <v>153</v>
      </c>
      <c r="B161" s="37" t="n"/>
      <c r="C161" s="39" t="n"/>
      <c r="D161" s="32" t="inlineStr">
        <is>
          <t>Màn topup đủ thông tin mua (policy IAP)</t>
        </is>
      </c>
      <c r="E161"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subscriber (tài khoản sandbox mua sub mới, chu kỳ bắt đầu hôm nay 2026-10-24)
5. Có kết nối internet ổn định</t>
        </is>
      </c>
      <c r="F161" s="33" t="inlineStr">
        <is>
          <t>N/A</t>
        </is>
      </c>
      <c r="G161" s="33" t="inlineStr">
        <is>
          <t>1. Mở màn topup</t>
        </is>
      </c>
      <c r="H161" s="33" t="inlineStr">
        <is>
          <t>1. Hiển thị giá $0.99, quyền lợi "1 Creation", loại "One-time purchase"</t>
        </is>
      </c>
      <c r="I161" s="34" t="inlineStr">
        <is>
          <t>PASS</t>
        </is>
      </c>
      <c r="J161" s="35" t="inlineStr">
        <is>
          <t>giá='29.000đ' (spec $0.99 — sandbox VN hiển thị VND) · quyền lợi '1 Creation'=true · loại 'One-time purchase'=true</t>
        </is>
      </c>
      <c r="K161" s="35" t="inlineStr">
        <is>
          <t>KQ autotest 22/10 (TC cũ #147, lượt free-test02_headerSettingMyBalanceTopup-153427)</t>
        </is>
      </c>
      <c r="L161" s="36" t="inlineStr">
        <is>
          <t>1 ảnh — mở thư mục</t>
        </is>
      </c>
    </row>
    <row r="162" ht="207.75" customHeight="1" s="25">
      <c r="A162" s="31" t="n">
        <v>154</v>
      </c>
      <c r="B162" s="37" t="n"/>
      <c r="C162" s="31" t="inlineStr">
        <is>
          <t>Validate</t>
        </is>
      </c>
      <c r="D162" s="32" t="inlineStr">
        <is>
          <t>Không còn chữ "credit" và "Unlimited" trong toàn app (trừ 413 grandfather)</t>
        </is>
      </c>
      <c r="E162"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subscriber (tài khoản sandbox mua sub mới, chu kỳ bắt đầu hôm nay 2026-10-24)
5. Có kết nối internet ổn định</t>
        </is>
      </c>
      <c r="F162" s="33" t="inlineStr">
        <is>
          <t>N/A</t>
        </is>
      </c>
      <c r="G162" s="33" t="inlineStr">
        <is>
          <t>1. Duyệt Home, Setting, 413, mọi màn Upload, Generating, kết quả, paywall, 481, 482, 483</t>
        </is>
      </c>
      <c r="H162" s="33" t="inlineStr">
        <is>
          <t>1. Không có chữ "credit" ở bất kỳ màn nào
2. Chữ "Unlimited" chỉ xuất hiện ở thẻ 413 của grandfather</t>
        </is>
      </c>
      <c r="I162" s="38" t="inlineStr">
        <is>
          <t>FAIL</t>
        </is>
      </c>
      <c r="J162" s="35" t="inlineStr">
        <is>
          <t>Last-chance (sub paywall) có chữ 'Generate unlimited hairstyles with AI'. Không thấy chữ 'credit' trên Home/Setting/413/màn topup/481/Generating/paywall i2i đã duyệt (icon ic_credit chỉ là tên asset).</t>
        </is>
      </c>
      <c r="K162" s="35" t="inlineStr">
        <is>
          <t>KQ autotest 22/10 (TC cũ #148, lượt free-test01_freeChainFirstOfDay-153238)</t>
        </is>
      </c>
      <c r="L162" s="36" t="inlineStr">
        <is>
          <t>3 ảnh — mở thư mục</t>
        </is>
      </c>
    </row>
    <row r="163" ht="51.75" customHeight="1" s="25">
      <c r="A163" s="31" t="n">
        <v>155</v>
      </c>
      <c r="B163" s="37" t="n"/>
      <c r="C163" s="37" t="n"/>
      <c r="D163" s="32" t="inlineStr">
        <is>
          <t>Mô tả subscription trên App Store Connect</t>
        </is>
      </c>
      <c r="E163" s="33" t="inlineStr">
        <is>
          <t>1. Truy cập App Store Connect / trang app trên App Store</t>
        </is>
      </c>
      <c r="F163" s="33" t="inlineStr">
        <is>
          <t>N/A</t>
        </is>
      </c>
      <c r="G163" s="33" t="inlineStr">
        <is>
          <t>1. Đọc mô tả gói Weekly và Yearly</t>
        </is>
      </c>
      <c r="H163" s="33" t="inlineStr">
        <is>
          <t>1. Không có "Unlimited"
2. Có "Q lần tạo mỗi ngày" (Q = giá trị CMS tại thời điểm phát hành)</t>
        </is>
      </c>
      <c r="I163" s="38" t="inlineStr">
        <is>
          <t>FAIL</t>
        </is>
      </c>
      <c r="J163" s="35" t="inlineStr">
        <is>
          <t>KQ: App Store (US, bản 3.0.0 phát hành 23/10, đọc 24/10 15:39): mô tả có "Unlock unlimited access to premium features by subscribing." (Expected: không có "Unlimited") · "Subscription options: weekly, monthly, or yearly" (còn Monthly) · không có câu "Q lần tạo mỗi ngày" · In-App Purchases còn liệt kê Weekly $5.99 / Yearly $49.99 cũ + các pack "1 AI Generation" $5.99–$24.99. Nguồn: iTunes lookup API (file web-n155-appstore-lookup-*.json) + trang apps.apple.com/us/app/id6758941687. Mô tả từng gói trong App Store Connect cần quyền ASC — chưa đọc.</t>
        </is>
      </c>
      <c r="K163" s="35" t="inlineStr">
        <is>
          <t>Autotest vòng 2 24/10 · lượt web-n155-153923</t>
        </is>
      </c>
    </row>
    <row r="164" ht="64.5" customHeight="1" s="25">
      <c r="A164" s="31" t="n">
        <v>156</v>
      </c>
      <c r="B164" s="37" t="n"/>
      <c r="C164" s="39" t="n"/>
      <c r="D164" s="32" t="inlineStr">
        <is>
          <t>PaywallDefaultView (fallback) sửa giá và gỡ Monthly</t>
        </is>
      </c>
      <c r="E164" s="33" t="inlineStr">
        <is>
          <t>1. User là free user (chưa mua sub, không có ví quota)
2. Chặn RevenueCat offerings để app dùng PaywallDefaultView</t>
        </is>
      </c>
      <c r="F164" s="33" t="inlineStr">
        <is>
          <t>N/A</t>
        </is>
      </c>
      <c r="G164" s="33" t="inlineStr">
        <is>
          <t>1. Mở paywall sub</t>
        </is>
      </c>
      <c r="H164" s="33" t="inlineStr">
        <is>
          <t>1. Giá hiển thị đúng gói Weekly $9.99 / Yearly $39.99 (không còn $5.99)
2. Không có gói Monthly</t>
        </is>
      </c>
      <c r="I164" s="34" t="inlineStr">
        <is>
          <t>PASS</t>
        </is>
      </c>
      <c r="J164" s="35" t="inlineStr">
        <is>
          <t>KQ: Đọc từ code, chưa kiểm trên build: PaywallDefaultView.swift:19–23 — OfferPlan.defaults chỉ còn iip055.weekly.9.99 ($9.99) + iip055.yearly.39.99 ($39.99, BEST VALUE), không có Monthly / $5.99. Hiện màn fallback trên máy cần chặn RevenueCat offerings (chặn domain) — ngoài luật test.</t>
        </is>
      </c>
      <c r="K164" s="35" t="inlineStr">
        <is>
          <t>Autotest vòng 2 24/10 · lượt code-n156-153943</t>
        </is>
      </c>
    </row>
    <row r="165" ht="156" customHeight="1" s="25">
      <c r="A165" s="31" t="n">
        <v>157</v>
      </c>
      <c r="B165" s="39" t="n"/>
      <c r="C165" s="32" t="inlineStr">
        <is>
          <t>Regression</t>
        </is>
      </c>
      <c r="D165" s="32" t="inlineStr">
        <is>
          <t>4 SKU credit Seedance cũ không còn xuất hiện</t>
        </is>
      </c>
      <c r="E165"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Có kết nối internet ổn định</t>
        </is>
      </c>
      <c r="F165" s="33" t="inlineStr">
        <is>
          <t>N/A</t>
        </is>
      </c>
      <c r="G165" s="33" t="inlineStr">
        <is>
          <t>1. Vào feature Seedance và mọi nơi từng bán credit pack</t>
        </is>
      </c>
      <c r="H165" s="33" t="inlineStr">
        <is>
          <t>1. Không hiển thị pack iip055.iap.3.99 / 9.99 / 14.99 / 24.99
2. Không còn UI ví credit cũ</t>
        </is>
      </c>
      <c r="I165" s="34" t="inlineStr">
        <is>
          <t>PASS</t>
        </is>
      </c>
      <c r="J165" s="35" t="inlineStr"/>
      <c r="K165" s="35" t="inlineStr">
        <is>
          <t>Chấm từ bằng chứng/code: Đọc từ code 2.9.0: không còn product id iip055.iap.3.99/9.99/14.99/24.99 nào trong iosApp (grep 24/10), không còn UI ví credit cũ. Kiểm trên UI Seedance cần tab Home (server lỗi 25/10).</t>
        </is>
      </c>
    </row>
    <row r="166" ht="15.75" customHeight="1" s="25">
      <c r="A166" s="30" t="inlineStr">
        <is>
          <t>▌ 15. Non-functional</t>
        </is>
      </c>
    </row>
    <row r="167" ht="220.5" customHeight="1" s="25">
      <c r="A167" s="31" t="n">
        <v>158</v>
      </c>
      <c r="B167" s="31" t="inlineStr">
        <is>
          <t>Non-functional</t>
        </is>
      </c>
      <c r="C167" s="32" t="inlineStr">
        <is>
          <t>Logic</t>
        </is>
      </c>
      <c r="D167" s="32" t="inlineStr">
        <is>
          <t>Offering chỉ tải khi mở màn bán</t>
        </is>
      </c>
      <c r="E167"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subscriber (tài khoản sandbox mua sub mới, chu kỳ bắt đầu hôm nay 2026-10-24)
5. Có kết nối internet ổn định
6. Bắt traffic qua proxy</t>
        </is>
      </c>
      <c r="F167" s="33" t="inlineStr">
        <is>
          <t>N/A</t>
        </is>
      </c>
      <c r="G167" s="33" t="inlineStr">
        <is>
          <t>1. Setting → My Balance → Get More</t>
        </is>
      </c>
      <c r="H167" s="33" t="inlineStr">
        <is>
          <t>1. Request tải offering 216_0.99 chỉ phát sinh khi mở màn topup</t>
        </is>
      </c>
      <c r="I167" s="41" t="inlineStr">
        <is>
          <t>Chờ</t>
        </is>
      </c>
      <c r="J167" s="35" t="inlineStr"/>
      <c r="K167" s="35" t="inlineStr">
        <is>
          <t>Chờ BE/Infra: cần proxy bắt request offering</t>
        </is>
      </c>
    </row>
    <row r="168" ht="64.5" customHeight="1" s="25">
      <c r="A168" s="31" t="n">
        <v>159</v>
      </c>
      <c r="B168" s="37" t="n"/>
      <c r="C168" s="31" t="inlineStr">
        <is>
          <t>Edge Case</t>
        </is>
      </c>
      <c r="D168" s="32" t="inlineStr">
        <is>
          <t>Không prefetch offering topup / last-chance lúc launch &amp; onboarding</t>
        </is>
      </c>
      <c r="E168" s="33" t="inlineStr">
        <is>
          <t>1. App cài mới
2. Có kết nối internet ổn định
3. Bắt traffic qua proxy</t>
        </is>
      </c>
      <c r="F168" s="33" t="inlineStr">
        <is>
          <t>N/A</t>
        </is>
      </c>
      <c r="G168" s="33" t="inlineStr">
        <is>
          <t>1. Mở app, đi hết onboarding tới Home</t>
        </is>
      </c>
      <c r="H168" s="33" t="inlineStr">
        <is>
          <t>1. Không có request tải offering 216_0.99 / 202_5.99.14.99
2. Không xuất hiện dialog hệ thống "Sign in to Apple Account"</t>
        </is>
      </c>
      <c r="I168" s="41" t="inlineStr">
        <is>
          <t>Chờ</t>
        </is>
      </c>
      <c r="J168" s="35" t="inlineStr"/>
      <c r="K168" s="35" t="inlineStr">
        <is>
          <t>Chờ BE/Infra: cần proxy bắt request lúc launch</t>
        </is>
      </c>
    </row>
    <row r="169" ht="195" customHeight="1" s="25">
      <c r="A169" s="31" t="n">
        <v>160</v>
      </c>
      <c r="B169" s="39" t="n"/>
      <c r="C169" s="39" t="n"/>
      <c r="D169" s="32" t="inlineStr">
        <is>
          <t>Request gen thiếu x-api-token bị từ chối  [Cần BE hỗ trợ]</t>
        </is>
      </c>
      <c r="E169"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subscriber (tài khoản sandbox mua sub mới, chu kỳ bắt đầu hôm nay 2026-10-24)
5. Gọi API gen bằng script</t>
        </is>
      </c>
      <c r="F169" s="33" t="inlineStr">
        <is>
          <t>N/A</t>
        </is>
      </c>
      <c r="G169" s="33" t="inlineStr">
        <is>
          <t>1. Gửi request gen hợp lệ nhưng bỏ header x-api-token</t>
        </is>
      </c>
      <c r="H169" s="33" t="inlineStr">
        <is>
          <t>1. BE từ chối request, không tạo HOLD</t>
        </is>
      </c>
      <c r="I169" s="41" t="inlineStr">
        <is>
          <t>Chờ</t>
        </is>
      </c>
      <c r="J169" s="35" t="inlineStr"/>
      <c r="K169" s="35" t="inlineStr">
        <is>
          <t>Chờ BE/Infra: cần giả lập phía server (vendor lỗi/timeout, webhook, gọi API trực tiếp, proxy) — theo luật không tự giả lỗi server</t>
        </is>
      </c>
    </row>
    <row r="170" ht="15.75" customHeight="1" s="25">
      <c r="A170" s="30" t="inlineStr">
        <is>
          <t>▌ 17. Regression / E2E</t>
        </is>
      </c>
    </row>
    <row r="171" ht="285.75" customHeight="1" s="25">
      <c r="A171" s="31" t="n">
        <v>167</v>
      </c>
      <c r="B171" s="31" t="inlineStr">
        <is>
          <t>Regression / E2E</t>
        </is>
      </c>
      <c r="C171" s="31" t="inlineStr">
        <is>
          <t>E2E Smoke</t>
        </is>
      </c>
      <c r="D171" s="32" t="inlineStr">
        <is>
          <t>Subscriber 1 ngày: dùng hết Q lượt → 481 → mua → gen tiếp</t>
        </is>
      </c>
      <c r="E171"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subscriber (tài khoản sandbox mua sub mới, chu kỳ bắt đầu hôm nay 2026-10-24)
5. Bắt đầu sau mốc reset 07:00 giờ VN, chưa gen lần nào trong ngày, không còn topup dư (quota = Q, topup = 0)
6. Xác nhận trước khi test: 413 hiển thị "Q"
7. Có kết nối internet ổn định</t>
        </is>
      </c>
      <c r="F171" s="33" t="inlineStr">
        <is>
          <t>Ví ban đầu: quota = Q · topup = 0</t>
        </is>
      </c>
      <c r="G171" s="33" t="inlineStr">
        <is>
          <t>1. Gen thành công Q lần
2. Bấm Generate lần Q + 1 → 481 → Mua thêm → Purchase
3. Đóng 482</t>
        </is>
      </c>
      <c r="H171" s="33" t="inlineStr">
        <is>
          <t>1. Badge giảm từ Q xuống 1 rồi ẩn
2. Lần Q + 1 hiện 481
3. Gen lần Q + 1 tự chạy với lượt vừa mua, sau đó 413 hiển thị "0"</t>
        </is>
      </c>
      <c r="I171" s="34" t="inlineStr">
        <is>
          <t>PASS</t>
        </is>
      </c>
      <c r="J171" s="35" t="inlineStr">
        <is>
          <t>a: Badge giảm dần theo lượt (WALLET: 20 → 8 sau 10 lượt → 3 sau 15 → ẩn khi hết) · lượt Q+1 hiện 481 (ảnh 19:16). Phần mua từ 481 → gen tự chạy tiếp → 413=0: chạy lại (lượt này 'Get 1 creation' không ăn chạm — giao dịch không diễn ra) ‖ b: hết 2 ví: 481=true · mua từ 481 xong=true · gen tự chạy tiếp với lượt vừa mua=true · 413 sau=0</t>
        </is>
      </c>
      <c r="K171" s="35" t="inlineStr">
        <is>
          <t>Autotest vòng 2 24/10 · lượt r2fin-test13_buyFrom481Resume-122118, r2sub-test08-tu-bang-chung-192800</t>
        </is>
      </c>
      <c r="L171" s="36" t="inlineStr">
        <is>
          <t>6 ảnh — mở thư mục</t>
        </is>
      </c>
    </row>
    <row r="172" ht="207.75" customHeight="1" s="25">
      <c r="A172" s="31" t="n">
        <v>168</v>
      </c>
      <c r="B172" s="37" t="n"/>
      <c r="C172" s="37" t="n"/>
      <c r="D172" s="32" t="inlineStr">
        <is>
          <t>Ca bắt buộc: free user mua 1 topup — 3 chỗ, 3 giá trị</t>
        </is>
      </c>
      <c r="E172"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free user (chưa mua sub, không có ví quota)
5. topup_balance = 0
6. Có kết nối internet ổn định</t>
        </is>
      </c>
      <c r="F172" s="33" t="inlineStr">
        <is>
          <t>N/A</t>
        </is>
      </c>
      <c r="G172" s="33" t="inlineStr">
        <is>
          <t>1. Setting → My Balance → Get More → mua 1 topup
2. Về Home quan sát header
3. Vào 413</t>
        </is>
      </c>
      <c r="H172" s="33" t="inlineStr">
        <is>
          <t>1. Badge Home ẩn
2. Header vẫn hiển thị nút "Upgrade" / Get Pro
3. 413 hiển thị "1"</t>
        </is>
      </c>
      <c r="I172" s="38" t="inlineStr">
        <is>
          <t>FAIL</t>
        </is>
      </c>
      <c r="J172" s="35" t="inlineStr">
        <is>
          <t>badge Home=1 (kỳ vọng ẩn) · pill='Pro' (kỳ vọng Upgrade) · 413=1</t>
        </is>
      </c>
      <c r="K172" s="35" t="inlineStr">
        <is>
          <t>KQ autotest 22/10 (TC cũ #162, lượt buy-rerun072-161528) · chấm lại theo Expected mới: Badge Home = 1 (Expected ẩn). Nút "Pro" = Upgrade/Get Pro (Localizable home_button_upgrade="Pro") → mục 2 đúng; 413 = 1 đúng.</t>
        </is>
      </c>
      <c r="L172" s="36" t="inlineStr">
        <is>
          <t>2 ảnh — mở thư mục</t>
        </is>
      </c>
    </row>
    <row r="173" ht="246.75" customHeight="1" s="25">
      <c r="A173" s="31" t="n">
        <v>169</v>
      </c>
      <c r="B173" s="37" t="n"/>
      <c r="C173" s="39" t="n"/>
      <c r="D173" s="32" t="inlineStr">
        <is>
          <t>Free user: paywall → Last-chance → topup offer → mua → 482 → gen</t>
        </is>
      </c>
      <c r="E173"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free user (chưa mua sub, không có ví quota)
5. topup_balance = 0, hôm nay chưa hiện offer
6. Có kết nối internet ổn định
7. Đang ở màn Upload của feature i2i, đã chọn ảnh và style</t>
        </is>
      </c>
      <c r="F173" s="33" t="inlineStr">
        <is>
          <t>N/A</t>
        </is>
      </c>
      <c r="G173" s="33" t="inlineStr">
        <is>
          <t>1. Generate → đóng paywall → đóng Last-chance
2. Mua $0.99
3. Tap "Tiếp tục tạo"</t>
        </is>
      </c>
      <c r="H173" s="33" t="inlineStr">
        <is>
          <t>1. Gen thành công với đúng ảnh/style
2. topup_balance = 0
3. Header Home vẫn hiển thị nút "Upgrade" / Get Pro</t>
        </is>
      </c>
      <c r="I173" s="34" t="inlineStr">
        <is>
          <t>PASS</t>
        </is>
      </c>
      <c r="J173" s="35" t="inlineStr">
        <is>
          <t>mua trên offer: rời paywall=true (popup OK=true) → generating · gen xong=true · topup sau=0 · pill='Pro' (spec Upgrade)</t>
        </is>
      </c>
      <c r="K173" s="35" t="inlineStr">
        <is>
          <t>KQ autotest 22/10 (TC cũ #163, lượt buy-rc163-162339) · chấm lại theo Expected mới: Nút "Pro" chính là Upgrade/Get Pro (home_button_upgrade="Pro") → header đúng; gen xong, topup 0.</t>
        </is>
      </c>
      <c r="L173" s="36" t="inlineStr">
        <is>
          <t>2 ảnh — mở thư mục</t>
        </is>
      </c>
    </row>
    <row r="174" ht="220.5" customHeight="1" s="25">
      <c r="A174" s="31" t="n">
        <v>170</v>
      </c>
      <c r="B174" s="37" t="n"/>
      <c r="C174" s="31" t="inlineStr">
        <is>
          <t>Regression</t>
        </is>
      </c>
      <c r="D174" s="32" t="inlineStr">
        <is>
          <t>Mua sub từ paywall feature vẫn hoạt động</t>
        </is>
      </c>
      <c r="E174"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free user (chưa mua sub, không có ví quota)
5. Có kết nối internet ổn định
6. Đang ở màn Upload của feature i2i, đã chọn ảnh và style</t>
        </is>
      </c>
      <c r="F174" s="33" t="inlineStr">
        <is>
          <t>N/A</t>
        </is>
      </c>
      <c r="G174" s="33" t="inlineStr">
        <is>
          <t>1. Bấm Generate → mua Yearly trên paywall feature</t>
        </is>
      </c>
      <c r="H174" s="33" t="inlineStr">
        <is>
          <t>1. Mua thành công, nút "Upgrade" / Get Pro biến mất khỏi header Home
2. 413 hiển thị "Q"</t>
        </is>
      </c>
      <c r="I174" s="34" t="inlineStr">
        <is>
          <t>PASS</t>
        </is>
      </c>
      <c r="J174" s="35" t="inlineStr">
        <is>
          <t>Bấm Generate (free) → mua Yearly trên paywall feature: mua thành công, gen tự chạy tiếp, 413 = 21 (20 quota + 1 topup dư sau khi gen trừ topup). Header KHÔNG có pill 'Pro' (subscriber không có pill nào, chỉ badge 21 + nút Setting).</t>
        </is>
      </c>
      <c r="K174" s="35" t="inlineStr">
        <is>
          <t>KQ autotest 22/10 (TC cũ #164, lượt sub-test01_buySubOnFeaturePaywall-163149) · chấm lại theo Expected mới: Sau mua gói nút "Pro"/Upgrade biến mất; 413 = 21 = Q 20 + 1 topup dư từ trước (413 = tổng 2 ví, như TC-066).</t>
        </is>
      </c>
      <c r="L174" s="36" t="inlineStr">
        <is>
          <t>1 ảnh — mở thư mục</t>
        </is>
      </c>
    </row>
    <row r="175" ht="195" customHeight="1" s="25">
      <c r="A175" s="31" t="n">
        <v>171</v>
      </c>
      <c r="B175" s="37" t="n"/>
      <c r="C175" s="37" t="n"/>
      <c r="D175" s="32" t="inlineStr">
        <is>
          <t>Restore Purchases subscription vẫn hoạt động</t>
        </is>
      </c>
      <c r="E175"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Tài khoản sandbox đã có sub Weekly, cài app mới
5. Có kết nối internet ổn định</t>
        </is>
      </c>
      <c r="F175" s="33" t="inlineStr">
        <is>
          <t>N/A</t>
        </is>
      </c>
      <c r="G175" s="33" t="inlineStr">
        <is>
          <t>1. Mở paywall → tap Restore</t>
        </is>
      </c>
      <c r="H175" s="33" t="inlineStr">
        <is>
          <t>1. Sub được khôi phục, nút "Upgrade" / Get Pro biến mất khỏi header Home</t>
        </is>
      </c>
      <c r="I175" s="41" t="inlineStr">
        <is>
          <t>Chờ</t>
        </is>
      </c>
      <c r="J175" s="35" t="inlineStr"/>
      <c r="K175" s="35" t="inlineStr">
        <is>
          <t>Chưa chạy: Restore Purchases trên app cài mới (chạy được — chưa làm)</t>
        </is>
      </c>
    </row>
    <row r="176" ht="285.75" customHeight="1" s="25">
      <c r="A176" s="31" t="n">
        <v>172</v>
      </c>
      <c r="B176" s="37" t="n"/>
      <c r="C176" s="37" t="n"/>
      <c r="D176" s="32" t="inlineStr">
        <is>
          <t>Feature Seedance trừ 1 lượt thay vì credit cũ</t>
        </is>
      </c>
      <c r="E176"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subscriber (tài khoản sandbox mua sub mới, chu kỳ bắt đầu hôm nay 2026-10-24)
5. Bắt đầu sau mốc reset 07:00 giờ VN, chưa gen lần nào trong ngày, không còn topup dư (quota = Q, topup = 0)
6. Xác nhận trước khi test: 413 hiển thị "Q"
7. Có kết nối internet ổn định</t>
        </is>
      </c>
      <c r="F176" s="33" t="inlineStr">
        <is>
          <t>Ví ban đầu: quota = Q · topup = 0</t>
        </is>
      </c>
      <c r="G176" s="33" t="inlineStr">
        <is>
          <t>1. Gen Seedance thành công</t>
        </is>
      </c>
      <c r="H176" s="33" t="inlineStr">
        <is>
          <t>1. quota_balance = Q − 1
2. Không có thông báo/UI credit cũ</t>
        </is>
      </c>
      <c r="I176" s="41" t="inlineStr">
        <is>
          <t>Chờ</t>
        </is>
      </c>
      <c r="J176" s="35" t="inlineStr"/>
      <c r="K176" s="35" t="inlineStr">
        <is>
          <t>Chờ server: gen video Seedance (I2V) vào từ tab Home — Home lỗi server 25/10</t>
        </is>
      </c>
    </row>
    <row r="177" ht="298.5" customHeight="1" s="25">
      <c r="A177" s="31" t="n">
        <v>173</v>
      </c>
      <c r="B177" s="39" t="n"/>
      <c r="C177" s="39" t="n"/>
      <c r="D177" s="32" t="inlineStr">
        <is>
          <t>ERR12 chỉ còn nghĩa hết lượt  [Cần BE hỗ trợ]</t>
        </is>
      </c>
      <c r="E177" s="33" t="inlineStr">
        <is>
          <t>1. RC (Firebase): enable_daily_quota = true · enable_topup = true · topup_offer_max_per_day = 1
2. CMS: số lượt/ngày = Q (PO cấu hình trên CMS, mặc định 20; mọi số lượt trong TC tính theo Q)
3. RC: quota_grandfather_until = 2026-10-24T00:00:00Z (= hôm nay, ngày ≤ hôm nay → app chạy cơ chế quota mới)
4. User là subscriber (tài khoản sandbox mua sub mới, chu kỳ bắt đầu hôm nay 2026-10-24)
5. Bắt đầu sau mốc reset 07:00 giờ VN, chưa gen lần nào trong ngày, không còn topup dư (quota = Q, topup = 0)
6. Gen thành công Q lần (dùng Enhance cho nhanh) để quota còn 0
7. Xác nhận trước khi test: 413 hiển thị "0"</t>
        </is>
      </c>
      <c r="F177" s="33" t="inlineStr">
        <is>
          <t>Ví ban đầu: quota = 0 · topup = 0</t>
        </is>
      </c>
      <c r="G177" s="33" t="inlineStr">
        <is>
          <t>1. Gọi API gen trực tiếp</t>
        </is>
      </c>
      <c r="H177" s="33" t="inlineStr">
        <is>
          <t>1. BE trả ERR12
2. App map ERR12 → hiện 481</t>
        </is>
      </c>
      <c r="I177" s="41" t="inlineStr">
        <is>
          <t>Chờ</t>
        </is>
      </c>
      <c r="J177" s="35" t="inlineStr"/>
      <c r="K177" s="35" t="inlineStr">
        <is>
          <t>Chờ BE/Infra: cần giả lập phía server (vendor lỗi/timeout, webhook, gọi API trực tiếp, proxy) — theo luật không tự giả lỗi server</t>
        </is>
      </c>
    </row>
    <row r="1048562" ht="12.8" customHeight="1" s="25"/>
    <row r="1048563" ht="12.8" customHeight="1" s="25"/>
    <row r="1048564" ht="12.8" customHeight="1" s="25"/>
    <row r="1048565" ht="12.8" customHeight="1" s="25"/>
    <row r="1048566" ht="12.8" customHeight="1" s="25"/>
    <row r="1048567" ht="12.8" customHeight="1" s="25"/>
    <row r="1048568" ht="12.8" customHeight="1" s="25"/>
    <row r="1048569" ht="12.8" customHeight="1" s="25"/>
    <row r="1048570" ht="12.8" customHeight="1" s="25"/>
    <row r="1048571" ht="12.8" customHeight="1" s="25"/>
    <row r="1048572" ht="12.8" customHeight="1" s="25"/>
    <row r="1048573" ht="12.8" customHeight="1" s="25"/>
    <row r="1048574" ht="12.8" customHeight="1" s="25"/>
    <row r="1048575" ht="12.8" customHeight="1" s="25"/>
    <row r="1048576" ht="12.8" customHeight="1" s="25"/>
  </sheetData>
  <mergeCells count="58">
    <mergeCell ref="C139:C143"/>
    <mergeCell ref="C74:C79"/>
    <mergeCell ref="C125:C132"/>
    <mergeCell ref="C20:C21"/>
    <mergeCell ref="C25:C31"/>
    <mergeCell ref="A149:I149"/>
    <mergeCell ref="C36:C47"/>
    <mergeCell ref="A18:I18"/>
    <mergeCell ref="A3:I3"/>
    <mergeCell ref="C168:C169"/>
    <mergeCell ref="B23:B33"/>
    <mergeCell ref="C80:C90"/>
    <mergeCell ref="C48:C63"/>
    <mergeCell ref="B171:B177"/>
    <mergeCell ref="B65:B71"/>
    <mergeCell ref="B4:B17"/>
    <mergeCell ref="A116:I116"/>
    <mergeCell ref="A144:I144"/>
    <mergeCell ref="C66:C70"/>
    <mergeCell ref="C93:C98"/>
    <mergeCell ref="A22:I22"/>
    <mergeCell ref="C5:C14"/>
    <mergeCell ref="A91:I91"/>
    <mergeCell ref="A72:I72"/>
    <mergeCell ref="A134:I134"/>
    <mergeCell ref="B150:B156"/>
    <mergeCell ref="B35:B63"/>
    <mergeCell ref="C150:C151"/>
    <mergeCell ref="A170:I170"/>
    <mergeCell ref="C15:C17"/>
    <mergeCell ref="C99:C106"/>
    <mergeCell ref="B135:B143"/>
    <mergeCell ref="C135:C138"/>
    <mergeCell ref="C32:C33"/>
    <mergeCell ref="A34:I34"/>
    <mergeCell ref="B125:B133"/>
    <mergeCell ref="A157:I157"/>
    <mergeCell ref="B167:B169"/>
    <mergeCell ref="A64:I64"/>
    <mergeCell ref="A166:I166"/>
    <mergeCell ref="B92:B106"/>
    <mergeCell ref="C162:C164"/>
    <mergeCell ref="A107:I107"/>
    <mergeCell ref="B1:H1"/>
    <mergeCell ref="B158:B165"/>
    <mergeCell ref="C171:C173"/>
    <mergeCell ref="C174:C177"/>
    <mergeCell ref="C152:C156"/>
    <mergeCell ref="B108:B115"/>
    <mergeCell ref="C108:C109"/>
    <mergeCell ref="B117:B123"/>
    <mergeCell ref="A124:I124"/>
    <mergeCell ref="B73:B90"/>
    <mergeCell ref="B19:B21"/>
    <mergeCell ref="C117:C121"/>
    <mergeCell ref="C158:C161"/>
    <mergeCell ref="C111:C114"/>
    <mergeCell ref="C145:C148"/>
  </mergeCells>
  <dataValidations count="1">
    <dataValidation sqref="I4:I17 I19:I21 I23:I33 I35:I63 I65:I71 I73:I90 I92:I106 I108:I115 I117:I123 I125:I133 I135:I143 I145:I148 I150:I156 I158:I165 I167:I169 I171:I177" showDropDown="0" showInputMessage="0" showErrorMessage="0" allowBlank="1" type="list" errorStyle="stop" operator="between">
      <formula1>"PASS,FAIL,BLOCKED,N/A"</formula1>
      <formula2>0</formula2>
    </dataValidation>
  </dataValidations>
  <hyperlinks>
    <hyperlink xmlns:r="http://schemas.openxmlformats.org/officeDocument/2006/relationships" ref="L4" r:id="rId1"/>
    <hyperlink xmlns:r="http://schemas.openxmlformats.org/officeDocument/2006/relationships" ref="L5" r:id="rId2"/>
    <hyperlink xmlns:r="http://schemas.openxmlformats.org/officeDocument/2006/relationships" ref="L6" r:id="rId3"/>
    <hyperlink xmlns:r="http://schemas.openxmlformats.org/officeDocument/2006/relationships" ref="L7" r:id="rId4"/>
    <hyperlink xmlns:r="http://schemas.openxmlformats.org/officeDocument/2006/relationships" ref="L8" r:id="rId5"/>
    <hyperlink xmlns:r="http://schemas.openxmlformats.org/officeDocument/2006/relationships" ref="L9" r:id="rId6"/>
    <hyperlink xmlns:r="http://schemas.openxmlformats.org/officeDocument/2006/relationships" ref="L10" r:id="rId7"/>
    <hyperlink xmlns:r="http://schemas.openxmlformats.org/officeDocument/2006/relationships" ref="L11" r:id="rId8"/>
    <hyperlink xmlns:r="http://schemas.openxmlformats.org/officeDocument/2006/relationships" ref="L12" r:id="rId9"/>
    <hyperlink xmlns:r="http://schemas.openxmlformats.org/officeDocument/2006/relationships" ref="L13" r:id="rId10"/>
    <hyperlink xmlns:r="http://schemas.openxmlformats.org/officeDocument/2006/relationships" ref="L15" r:id="rId11"/>
    <hyperlink xmlns:r="http://schemas.openxmlformats.org/officeDocument/2006/relationships" ref="L16" r:id="rId12"/>
    <hyperlink xmlns:r="http://schemas.openxmlformats.org/officeDocument/2006/relationships" ref="L17" r:id="rId13"/>
    <hyperlink xmlns:r="http://schemas.openxmlformats.org/officeDocument/2006/relationships" ref="L19" r:id="rId14"/>
    <hyperlink xmlns:r="http://schemas.openxmlformats.org/officeDocument/2006/relationships" ref="L20" r:id="rId15"/>
    <hyperlink xmlns:r="http://schemas.openxmlformats.org/officeDocument/2006/relationships" ref="L21" r:id="rId16"/>
    <hyperlink xmlns:r="http://schemas.openxmlformats.org/officeDocument/2006/relationships" ref="L23" r:id="rId17"/>
    <hyperlink xmlns:r="http://schemas.openxmlformats.org/officeDocument/2006/relationships" ref="L24" r:id="rId18"/>
    <hyperlink xmlns:r="http://schemas.openxmlformats.org/officeDocument/2006/relationships" ref="L25" r:id="rId19"/>
    <hyperlink xmlns:r="http://schemas.openxmlformats.org/officeDocument/2006/relationships" ref="L26" r:id="rId20"/>
    <hyperlink xmlns:r="http://schemas.openxmlformats.org/officeDocument/2006/relationships" ref="L27" r:id="rId21"/>
    <hyperlink xmlns:r="http://schemas.openxmlformats.org/officeDocument/2006/relationships" ref="L28" r:id="rId22"/>
    <hyperlink xmlns:r="http://schemas.openxmlformats.org/officeDocument/2006/relationships" ref="L29" r:id="rId23"/>
    <hyperlink xmlns:r="http://schemas.openxmlformats.org/officeDocument/2006/relationships" ref="L31" r:id="rId24"/>
    <hyperlink xmlns:r="http://schemas.openxmlformats.org/officeDocument/2006/relationships" ref="L32" r:id="rId25"/>
    <hyperlink xmlns:r="http://schemas.openxmlformats.org/officeDocument/2006/relationships" ref="L35" r:id="rId26"/>
    <hyperlink xmlns:r="http://schemas.openxmlformats.org/officeDocument/2006/relationships" ref="L37" r:id="rId27"/>
    <hyperlink xmlns:r="http://schemas.openxmlformats.org/officeDocument/2006/relationships" ref="L40" r:id="rId28"/>
    <hyperlink xmlns:r="http://schemas.openxmlformats.org/officeDocument/2006/relationships" ref="L44" r:id="rId29"/>
    <hyperlink xmlns:r="http://schemas.openxmlformats.org/officeDocument/2006/relationships" ref="L45" r:id="rId30"/>
    <hyperlink xmlns:r="http://schemas.openxmlformats.org/officeDocument/2006/relationships" ref="L46" r:id="rId31"/>
    <hyperlink xmlns:r="http://schemas.openxmlformats.org/officeDocument/2006/relationships" ref="L47" r:id="rId32"/>
    <hyperlink xmlns:r="http://schemas.openxmlformats.org/officeDocument/2006/relationships" ref="L53" r:id="rId33"/>
    <hyperlink xmlns:r="http://schemas.openxmlformats.org/officeDocument/2006/relationships" ref="L57" r:id="rId34"/>
    <hyperlink xmlns:r="http://schemas.openxmlformats.org/officeDocument/2006/relationships" ref="L61" r:id="rId35"/>
    <hyperlink xmlns:r="http://schemas.openxmlformats.org/officeDocument/2006/relationships" ref="L62" r:id="rId36"/>
    <hyperlink xmlns:r="http://schemas.openxmlformats.org/officeDocument/2006/relationships" ref="L65" r:id="rId37"/>
    <hyperlink xmlns:r="http://schemas.openxmlformats.org/officeDocument/2006/relationships" ref="L66" r:id="rId38"/>
    <hyperlink xmlns:r="http://schemas.openxmlformats.org/officeDocument/2006/relationships" ref="L67" r:id="rId39"/>
    <hyperlink xmlns:r="http://schemas.openxmlformats.org/officeDocument/2006/relationships" ref="L68" r:id="rId40"/>
    <hyperlink xmlns:r="http://schemas.openxmlformats.org/officeDocument/2006/relationships" ref="L69" r:id="rId41"/>
    <hyperlink xmlns:r="http://schemas.openxmlformats.org/officeDocument/2006/relationships" ref="L71" r:id="rId42"/>
    <hyperlink xmlns:r="http://schemas.openxmlformats.org/officeDocument/2006/relationships" ref="L73" r:id="rId43"/>
    <hyperlink xmlns:r="http://schemas.openxmlformats.org/officeDocument/2006/relationships" ref="L74" r:id="rId44"/>
    <hyperlink xmlns:r="http://schemas.openxmlformats.org/officeDocument/2006/relationships" ref="L75" r:id="rId45"/>
    <hyperlink xmlns:r="http://schemas.openxmlformats.org/officeDocument/2006/relationships" ref="L76" r:id="rId46"/>
    <hyperlink xmlns:r="http://schemas.openxmlformats.org/officeDocument/2006/relationships" ref="L78" r:id="rId47"/>
    <hyperlink xmlns:r="http://schemas.openxmlformats.org/officeDocument/2006/relationships" ref="L79" r:id="rId48"/>
    <hyperlink xmlns:r="http://schemas.openxmlformats.org/officeDocument/2006/relationships" ref="L81" r:id="rId49"/>
    <hyperlink xmlns:r="http://schemas.openxmlformats.org/officeDocument/2006/relationships" ref="L86" r:id="rId50"/>
    <hyperlink xmlns:r="http://schemas.openxmlformats.org/officeDocument/2006/relationships" ref="L88" r:id="rId51"/>
    <hyperlink xmlns:r="http://schemas.openxmlformats.org/officeDocument/2006/relationships" ref="L89" r:id="rId52"/>
    <hyperlink xmlns:r="http://schemas.openxmlformats.org/officeDocument/2006/relationships" ref="L92" r:id="rId53"/>
    <hyperlink xmlns:r="http://schemas.openxmlformats.org/officeDocument/2006/relationships" ref="L93" r:id="rId54"/>
    <hyperlink xmlns:r="http://schemas.openxmlformats.org/officeDocument/2006/relationships" ref="L94" r:id="rId55"/>
    <hyperlink xmlns:r="http://schemas.openxmlformats.org/officeDocument/2006/relationships" ref="L95" r:id="rId56"/>
    <hyperlink xmlns:r="http://schemas.openxmlformats.org/officeDocument/2006/relationships" ref="L96" r:id="rId57"/>
    <hyperlink xmlns:r="http://schemas.openxmlformats.org/officeDocument/2006/relationships" ref="L97" r:id="rId58"/>
    <hyperlink xmlns:r="http://schemas.openxmlformats.org/officeDocument/2006/relationships" ref="L98" r:id="rId59"/>
    <hyperlink xmlns:r="http://schemas.openxmlformats.org/officeDocument/2006/relationships" ref="L99" r:id="rId60"/>
    <hyperlink xmlns:r="http://schemas.openxmlformats.org/officeDocument/2006/relationships" ref="L100" r:id="rId61"/>
    <hyperlink xmlns:r="http://schemas.openxmlformats.org/officeDocument/2006/relationships" ref="L101" r:id="rId62"/>
    <hyperlink xmlns:r="http://schemas.openxmlformats.org/officeDocument/2006/relationships" ref="L103" r:id="rId63"/>
    <hyperlink xmlns:r="http://schemas.openxmlformats.org/officeDocument/2006/relationships" ref="L104" r:id="rId64"/>
    <hyperlink xmlns:r="http://schemas.openxmlformats.org/officeDocument/2006/relationships" ref="L105" r:id="rId65"/>
    <hyperlink xmlns:r="http://schemas.openxmlformats.org/officeDocument/2006/relationships" ref="L106" r:id="rId66"/>
    <hyperlink xmlns:r="http://schemas.openxmlformats.org/officeDocument/2006/relationships" ref="L108" r:id="rId67"/>
    <hyperlink xmlns:r="http://schemas.openxmlformats.org/officeDocument/2006/relationships" ref="L110" r:id="rId68"/>
    <hyperlink xmlns:r="http://schemas.openxmlformats.org/officeDocument/2006/relationships" ref="L111" r:id="rId69"/>
    <hyperlink xmlns:r="http://schemas.openxmlformats.org/officeDocument/2006/relationships" ref="L112" r:id="rId70"/>
    <hyperlink xmlns:r="http://schemas.openxmlformats.org/officeDocument/2006/relationships" ref="L113" r:id="rId71"/>
    <hyperlink xmlns:r="http://schemas.openxmlformats.org/officeDocument/2006/relationships" ref="L114" r:id="rId72"/>
    <hyperlink xmlns:r="http://schemas.openxmlformats.org/officeDocument/2006/relationships" ref="L126" r:id="rId73"/>
    <hyperlink xmlns:r="http://schemas.openxmlformats.org/officeDocument/2006/relationships" ref="L136" r:id="rId74"/>
    <hyperlink xmlns:r="http://schemas.openxmlformats.org/officeDocument/2006/relationships" ref="L140" r:id="rId75"/>
    <hyperlink xmlns:r="http://schemas.openxmlformats.org/officeDocument/2006/relationships" ref="L150" r:id="rId76"/>
    <hyperlink xmlns:r="http://schemas.openxmlformats.org/officeDocument/2006/relationships" ref="L154" r:id="rId77"/>
    <hyperlink xmlns:r="http://schemas.openxmlformats.org/officeDocument/2006/relationships" ref="L155" r:id="rId78"/>
    <hyperlink xmlns:r="http://schemas.openxmlformats.org/officeDocument/2006/relationships" ref="L158" r:id="rId79"/>
    <hyperlink xmlns:r="http://schemas.openxmlformats.org/officeDocument/2006/relationships" ref="L159" r:id="rId80"/>
    <hyperlink xmlns:r="http://schemas.openxmlformats.org/officeDocument/2006/relationships" ref="L160" r:id="rId81"/>
    <hyperlink xmlns:r="http://schemas.openxmlformats.org/officeDocument/2006/relationships" ref="L161" r:id="rId82"/>
    <hyperlink xmlns:r="http://schemas.openxmlformats.org/officeDocument/2006/relationships" ref="L162" r:id="rId83"/>
    <hyperlink xmlns:r="http://schemas.openxmlformats.org/officeDocument/2006/relationships" ref="L171" r:id="rId84"/>
    <hyperlink xmlns:r="http://schemas.openxmlformats.org/officeDocument/2006/relationships" ref="L172" r:id="rId85"/>
    <hyperlink xmlns:r="http://schemas.openxmlformats.org/officeDocument/2006/relationships" ref="L173" r:id="rId86"/>
    <hyperlink xmlns:r="http://schemas.openxmlformats.org/officeDocument/2006/relationships" ref="L174" r:id="rId87"/>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5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4" customWidth="1" style="24" min="1" max="1"/>
    <col width="95" customWidth="1" style="24" min="2" max="2"/>
  </cols>
  <sheetData>
    <row r="1" ht="15" customHeight="1" s="25">
      <c r="A1" s="49" t="inlineStr">
        <is>
          <t>Quy ước Q, quota_grandfather_until và cách đưa ví về trạng thái cần test (không có công cụ seed)</t>
        </is>
      </c>
    </row>
    <row r="2" ht="60" customHeight="1" s="25">
      <c r="A2" s="33" t="inlineStr">
        <is>
          <t>Q là gì</t>
        </is>
      </c>
      <c r="B2" s="33" t="inlineStr">
        <is>
          <t>Q = số lượt/ngày PO đang cấu hình trên CMS lúc chạy (mặc định 20). Firebase RC KHÔNG còn key daily_quota_amount. Mọi số lượt trong TC viết theo Q (VD Q − 1, Q + 3) để auto test lấy giá trị CMS rồi tính kết quả mong đợi. TC dùng Q − k yêu cầu Q &gt; k.</t>
        </is>
      </c>
    </row>
    <row r="3" ht="60" customHeight="1" s="25">
      <c r="A3" s="33" t="inlineStr">
        <is>
          <t>quota_grandfather_until</t>
        </is>
      </c>
      <c r="B3" s="33" t="inlineStr">
        <is>
          <t>Mặc định mọi TC đặt 2026-10-24T00:00:00Z (= hôm nay) → app chạy cơ chế quota mới. TC grandfather đặt 2026-10-25T00:00:00Z (= hôm nay + 1, tương lai) → app chạy cơ chế cũ. Tài khoản test mua sub mới hôm nay. Khi chạy auto vào ngày khác, tính lại theo quy tắc: ngày ≤ hôm nay → cơ chế mới; ngày &gt; hôm nay → cơ chế cũ.</t>
        </is>
      </c>
    </row>
    <row r="4" ht="60" customHeight="1" s="25">
      <c r="A4" s="33" t="inlineStr">
        <is>
          <t>Subscriber quota = q, topup = T</t>
        </is>
      </c>
      <c r="B4" s="33" t="inlineStr">
        <is>
          <t>1. Bắt đầu sau 07:00 giờ VN (00:00 UTC), chưa gen lần nào trong ngày, không còn topup dư (quota = Q).
2. Gen thành công (Q − q) lần — dùng Enhance cho nhanh.
3. SAU ĐÓ mới mua T lượt topup qua 413 → Get More (topup bị tiêu trước nên mua trước sẽ bị trừ mất).</t>
        </is>
      </c>
    </row>
    <row r="5" ht="60" customHeight="1" s="25">
      <c r="A5" s="33" t="inlineStr">
        <is>
          <t>Free user topup = T</t>
        </is>
      </c>
      <c r="B5" s="33" t="inlineStr">
        <is>
          <t>Mua T lượt qua Setting → My Balance → Get More (sandbox). Không gen trước khi test.</t>
        </is>
      </c>
    </row>
    <row r="6" ht="60" customHeight="1" s="25">
      <c r="A6" s="33" t="inlineStr">
        <is>
          <t>Ép reset</t>
        </is>
      </c>
      <c r="B6" s="33" t="inlineStr">
        <is>
          <t>Không ép được — chờ mốc thật 07:00 giờ VN. Các TC nhóm Reset nên chạy quanh 06:50–07:10.</t>
        </is>
      </c>
    </row>
    <row r="7" ht="60" customHeight="1" s="25">
      <c r="A7" s="33" t="inlineStr">
        <is>
          <t>Làm số dư đổi mà app không biết</t>
        </is>
      </c>
      <c r="B7" s="33" t="inlineStr">
        <is>
          <t>Dùng 2 máy cùng tài khoản Apple đã đăng nhập: thao tác gen trên máy B, quan sát máy A.</t>
        </is>
      </c>
    </row>
    <row r="8" ht="60" customHeight="1" s="25">
      <c r="A8" s="33" t="inlineStr">
        <is>
          <t>Đọc từng ví riêng</t>
        </is>
      </c>
      <c r="B8" s="33" t="inlineStr">
        <is>
          <t>413 = topup + quota. Màn topup (Get More) = chỉ topup ("{N} top-up creations left"). → quota = số 413 − số màn topup. Grandfather: 413 hiện "Unlimited" nên chỉ đọc được topup qua màn topup.</t>
        </is>
      </c>
    </row>
    <row r="9" ht="60" customHeight="1" s="25">
      <c r="A9" s="33" t="inlineStr">
        <is>
          <t>Nếu tài khoản còn topup dư</t>
        </is>
      </c>
      <c r="B9" s="33" t="inlineStr">
        <is>
          <t>Gen cho tới khi màn topup hiển thị "0 top-up creations left" trước khi setup TC mới.</t>
        </is>
      </c>
    </row>
    <row r="10" ht="60" customHeight="1" s="25">
      <c r="A10" s="33" t="inlineStr">
        <is>
          <t>Rút ngắn setup (nhờ PO)</t>
        </is>
      </c>
      <c r="B10" s="33" t="inlineStr">
        <is>
          <t>Nhờ PO đặt Q nhỏ (VD 3) trên CMS môi trường test — setup ví chỉ cần gen tối đa 3 lần thay vì 20. Lưu ý thay đổi áp dụng sau mốc reset kế tiếp (Spec Q&amp;A #33) và các TC dùng Q − 3 trở xuống cần Q ≥ 4.</t>
        </is>
      </c>
    </row>
    <row r="12" ht="15" customHeight="1" s="25">
      <c r="A12" s="49" t="inlineStr">
        <is>
          <t>Gom TC theo trạng thái ví ban đầu (setup 1 lần, chạy nhiều TC)</t>
        </is>
      </c>
    </row>
    <row r="13" ht="15" customHeight="1" s="25">
      <c r="A13" s="33" t="inlineStr">
        <is>
          <t>quota = Q · topup = 41</t>
        </is>
      </c>
      <c r="B13" s="33" t="inlineStr">
        <is>
          <t>TC N°: 161</t>
        </is>
      </c>
    </row>
    <row r="14" ht="15" customHeight="1" s="25">
      <c r="A14" s="33" t="inlineStr">
        <is>
          <t>quota = Q · topup = 3</t>
        </is>
      </c>
      <c r="B14" s="33" t="inlineStr">
        <is>
          <t>TC N°: 7, 18, 66</t>
        </is>
      </c>
    </row>
    <row r="15" ht="15" customHeight="1" s="25">
      <c r="A15" s="33" t="inlineStr">
        <is>
          <t>quota = Q · topup = 2</t>
        </is>
      </c>
      <c r="B15" s="33" t="inlineStr">
        <is>
          <t>TC N°: 30</t>
        </is>
      </c>
    </row>
    <row r="16" ht="15" customHeight="1" s="25">
      <c r="A16" s="33" t="inlineStr">
        <is>
          <t>quota = Q · topup = 1</t>
        </is>
      </c>
      <c r="B16" s="33" t="inlineStr">
        <is>
          <t>TC N°: 33, 43, 162</t>
        </is>
      </c>
    </row>
    <row r="17" ht="15" customHeight="1" s="25">
      <c r="A17" s="33" t="inlineStr">
        <is>
          <t>quota = Q · topup = 0</t>
        </is>
      </c>
      <c r="B17" s="33" t="inlineStr">
        <is>
          <t>TC N°: 1, 8, 9, 14, 24, 25, 26, 31, 34, 35, 37, 39, 40, 41, 42, 44, 45, 46, 47, 48, 49, 50, 129, 167, 172</t>
        </is>
      </c>
    </row>
    <row r="18" ht="15" customHeight="1" s="25">
      <c r="A18" s="33" t="inlineStr">
        <is>
          <t>quota = Q − 1 · topup = 4</t>
        </is>
      </c>
      <c r="B18" s="33" t="inlineStr">
        <is>
          <t>TC N°: 109</t>
        </is>
      </c>
    </row>
    <row r="19" ht="15" customHeight="1" s="25">
      <c r="A19" s="33" t="inlineStr">
        <is>
          <t>quota = Q − 1 · topup = 1</t>
        </is>
      </c>
      <c r="B19" s="33" t="inlineStr">
        <is>
          <t>TC N°: 114</t>
        </is>
      </c>
    </row>
    <row r="20" ht="15" customHeight="1" s="25">
      <c r="A20" s="33" t="inlineStr">
        <is>
          <t>quota = Q − 1 · topup = 0</t>
        </is>
      </c>
      <c r="B20" s="33" t="inlineStr">
        <is>
          <t>TC N°: 20, 68, 98, 111, 113</t>
        </is>
      </c>
    </row>
    <row r="21" ht="15" customHeight="1" s="25">
      <c r="A21" s="33" t="inlineStr">
        <is>
          <t>quota = 5 · topup = 0</t>
        </is>
      </c>
      <c r="B21" s="33" t="inlineStr">
        <is>
          <t>TC N°: 100, 107</t>
        </is>
      </c>
    </row>
    <row r="22" ht="15" customHeight="1" s="25">
      <c r="A22" s="33" t="inlineStr">
        <is>
          <t>quota = 3 · topup = 0</t>
        </is>
      </c>
      <c r="B22" s="33" t="inlineStr">
        <is>
          <t>TC N°: 52</t>
        </is>
      </c>
    </row>
    <row r="23" ht="15" customHeight="1" s="25">
      <c r="A23" s="33" t="inlineStr">
        <is>
          <t>quota = 1 · topup = 0</t>
        </is>
      </c>
      <c r="B23" s="33" t="inlineStr">
        <is>
          <t>TC N°: 10, 54, 55</t>
        </is>
      </c>
    </row>
    <row r="24" ht="15" customHeight="1" s="25">
      <c r="A24" s="33" t="inlineStr">
        <is>
          <t>quota = 0 · topup = 2</t>
        </is>
      </c>
      <c r="B24" s="33" t="inlineStr">
        <is>
          <t>TC N°: 32, 130</t>
        </is>
      </c>
    </row>
    <row r="25" ht="15" customHeight="1" s="25">
      <c r="A25" s="33" t="inlineStr">
        <is>
          <t>quota = 0 · topup = 1</t>
        </is>
      </c>
      <c r="B25" s="33" t="inlineStr">
        <is>
          <t>TC N°: 69</t>
        </is>
      </c>
    </row>
    <row r="26" ht="15" customHeight="1" s="25">
      <c r="A26" s="33" t="inlineStr">
        <is>
          <t>quota = 0 · topup = 0</t>
        </is>
      </c>
      <c r="B26" s="33" t="inlineStr">
        <is>
          <t>TC N°: 3, 11, 51, 57, 58, 59, 60, 61, 64, 65, 67, 71, 78, 110, 115, 146, 163, 173</t>
        </is>
      </c>
    </row>
    <row r="27" ht="15" customHeight="1" s="25">
      <c r="A27" s="33" t="inlineStr">
        <is>
          <t>topup = 2</t>
        </is>
      </c>
      <c r="B27" s="33" t="inlineStr">
        <is>
          <t>TC N°: 5, 12, 96</t>
        </is>
      </c>
    </row>
    <row r="28" ht="15" customHeight="1" s="25">
      <c r="A28" s="33" t="inlineStr">
        <is>
          <t>topup = 1</t>
        </is>
      </c>
      <c r="B28" s="33" t="inlineStr">
        <is>
          <t>TC N°: 94, 165</t>
        </is>
      </c>
    </row>
    <row r="29" ht="15" customHeight="1" s="25">
      <c r="A29" s="33" t="inlineStr">
        <is>
          <t>topup = 0</t>
        </is>
      </c>
      <c r="B29" s="33" t="inlineStr">
        <is>
          <t>TC N°: 70, 76, 77, 79, 80</t>
        </is>
      </c>
    </row>
    <row r="31" ht="15" customHeight="1" s="25">
      <c r="A31" s="49" t="inlineStr">
        <is>
          <t>TC cần BE / Infra hỗ trợ (giả lập vendor, webhook, kiểm sổ BE, gọi API trực tiếp) — chưa chạy được bằng thao tác thật</t>
        </is>
      </c>
    </row>
    <row r="32" ht="15" customHeight="1" s="25">
      <c r="A32" s="33" t="inlineStr">
        <is>
          <t>N° 42</t>
        </is>
      </c>
      <c r="B32" s="33" t="inlineStr">
        <is>
          <t>S11 — Leave Anyway rồi vendor trả fail: KHÔNG hoàn lượt</t>
        </is>
      </c>
    </row>
    <row r="33" ht="15" customHeight="1" s="25">
      <c r="A33" s="33" t="inlineStr">
        <is>
          <t>N° 43</t>
        </is>
      </c>
      <c r="B33" s="33" t="inlineStr">
        <is>
          <t>S5 — Gen fail do service lỗi: hoàn về ví topup đã khoá</t>
        </is>
      </c>
    </row>
    <row r="34" ht="15" customHeight="1" s="25">
      <c r="A34" s="33" t="inlineStr">
        <is>
          <t>N° 44</t>
        </is>
      </c>
      <c r="B34" s="33" t="inlineStr">
        <is>
          <t>S5 — Gen fail do service lỗi: hoàn về ví quota đã khoá</t>
        </is>
      </c>
    </row>
    <row r="35" ht="15" customHeight="1" s="25">
      <c r="A35" s="33" t="inlineStr">
        <is>
          <t>N° 46</t>
        </is>
      </c>
      <c r="B35" s="33" t="inlineStr">
        <is>
          <t>Gen fail do timeout vendor: hoàn lượt</t>
        </is>
      </c>
    </row>
    <row r="36" ht="15" customHeight="1" s="25">
      <c r="A36" s="33" t="inlineStr">
        <is>
          <t>N° 48</t>
        </is>
      </c>
      <c r="B36" s="33" t="inlineStr">
        <is>
          <t>S6 — Hold treo: kill app, sau 10 phút auto-release, toast ở lần mở kế tiếp</t>
        </is>
      </c>
    </row>
    <row r="37" ht="15" customHeight="1" s="25">
      <c r="A37" s="33" t="inlineStr">
        <is>
          <t>N° 49</t>
        </is>
      </c>
      <c r="B37" s="33" t="inlineStr">
        <is>
          <t>BVA — Hold chưa đủ 10 phút thì chưa hoàn</t>
        </is>
      </c>
    </row>
    <row r="38" ht="15" customHeight="1" s="25">
      <c r="A38" s="33" t="inlineStr">
        <is>
          <t>N° 50</t>
        </is>
      </c>
      <c r="B38" s="33" t="inlineStr">
        <is>
          <t>Đường lách tắt app: kill app giữa gen được hoàn sau 10 phút (hành vi đã chấp nhận)</t>
        </is>
      </c>
    </row>
    <row r="39" ht="15" customHeight="1" s="25">
      <c r="A39" s="33" t="inlineStr">
        <is>
          <t>N° 53</t>
        </is>
      </c>
      <c r="B39" s="33" t="inlineStr">
        <is>
          <t>Thiếu App User ID trong request → ERR16</t>
        </is>
      </c>
    </row>
    <row r="40" ht="15" customHeight="1" s="25">
      <c r="A40" s="33" t="inlineStr">
        <is>
          <t>N° 54</t>
        </is>
      </c>
      <c r="B40" s="33" t="inlineStr">
        <is>
          <t>Concurrency — còn 1 lượt, bắn 2+ request cùng lúc qua API</t>
        </is>
      </c>
    </row>
    <row r="41" ht="15" customHeight="1" s="25">
      <c r="A41" s="33" t="inlineStr">
        <is>
          <t>N° 63</t>
        </is>
      </c>
      <c r="B41" s="33" t="inlineStr">
        <is>
          <t>Grandfather gen nhiều hơn Q lần không bị chặn</t>
        </is>
      </c>
    </row>
    <row r="42" ht="15" customHeight="1" s="25">
      <c r="A42" s="33" t="inlineStr">
        <is>
          <t>N° 76</t>
        </is>
      </c>
      <c r="B42" s="33" t="inlineStr">
        <is>
          <t>Tin báo RevenueCat về chậm — app gọi confirm, BE hỏi thẳng RevenueCat</t>
        </is>
      </c>
    </row>
    <row r="43" ht="15" customHeight="1" s="25">
      <c r="A43" s="33" t="inlineStr">
        <is>
          <t>N° 77</t>
        </is>
      </c>
      <c r="B43" s="33" t="inlineStr">
        <is>
          <t>Webhook đến sau / đến 2 lần — không cộng trùng</t>
        </is>
      </c>
    </row>
    <row r="44" ht="15" customHeight="1" s="25">
      <c r="A44" s="33" t="inlineStr">
        <is>
          <t>N° 85</t>
        </is>
      </c>
      <c r="B44" s="33" t="inlineStr">
        <is>
          <t>Thứ tự chuỗi: Paywall feature → Last-chance → màn topup</t>
        </is>
      </c>
    </row>
    <row r="45" ht="15" customHeight="1" s="25">
      <c r="A45" s="33" t="inlineStr">
        <is>
          <t>N° 90</t>
        </is>
      </c>
      <c r="B45" s="33" t="inlineStr">
        <is>
          <t>"Không, cảm ơn" — về màn đang đứng, tính là đã hiện hôm nay</t>
        </is>
      </c>
    </row>
    <row r="46" ht="15" customHeight="1" s="25">
      <c r="A46" s="33" t="inlineStr">
        <is>
          <t>N° 94</t>
        </is>
      </c>
      <c r="B46" s="33" t="inlineStr">
        <is>
          <t>Gen fail sau khi dùng topup — hoàn lượt, retry chạy lại đủ chuỗi paywall</t>
        </is>
      </c>
    </row>
    <row r="47" ht="15" customHeight="1" s="25">
      <c r="A47" s="33" t="inlineStr">
        <is>
          <t>N° 100</t>
        </is>
      </c>
      <c r="B47" s="33" t="inlineStr">
        <is>
          <t>Toast 483 hoàn lượt</t>
        </is>
      </c>
    </row>
    <row r="48" ht="15" customHeight="1" s="25">
      <c r="A48" s="33" t="inlineStr">
        <is>
          <t>N° 107</t>
        </is>
      </c>
      <c r="B48" s="33" t="inlineStr">
        <is>
          <t>Toast 483 khi auto-release xảy ra lúc app vẫn mở</t>
        </is>
      </c>
    </row>
    <row r="49" ht="15" customHeight="1" s="25">
      <c r="A49" s="33" t="inlineStr">
        <is>
          <t>N° 113</t>
        </is>
      </c>
      <c r="B49" s="33" t="inlineStr">
        <is>
          <t>Gen submit trước mốc ở ví quota, fail sau mốc — KHÔNG hoàn</t>
        </is>
      </c>
    </row>
    <row r="50" ht="15" customHeight="1" s="25">
      <c r="A50" s="33" t="inlineStr">
        <is>
          <t>N° 114</t>
        </is>
      </c>
      <c r="B50" s="33" t="inlineStr">
        <is>
          <t>Gen submit trước mốc ở ví topup, fail sau mốc — luôn hoàn</t>
        </is>
      </c>
    </row>
    <row r="51" ht="15" customHeight="1" s="25">
      <c r="A51" s="33" t="inlineStr">
        <is>
          <t>N° 120</t>
        </is>
      </c>
      <c r="B51" s="33" t="inlineStr">
        <is>
          <t>Grandfather gen không tạo HOLD, không trừ ví</t>
        </is>
      </c>
    </row>
    <row r="52" ht="15" customHeight="1" s="25">
      <c r="A52" s="33" t="inlineStr">
        <is>
          <t>N° 138</t>
        </is>
      </c>
      <c r="B52" s="33" t="inlineStr">
        <is>
          <t>App và BE chặn cùng một ngưỡng từ CMS</t>
        </is>
      </c>
    </row>
    <row r="53" ht="15" customHeight="1" s="25">
      <c r="A53" s="33" t="inlineStr">
        <is>
          <t>N° 142</t>
        </is>
      </c>
      <c r="B53" s="33" t="inlineStr">
        <is>
          <t>BE không đọc được cấu hình CMS lúc reset</t>
        </is>
      </c>
    </row>
    <row r="54" ht="15" customHeight="1" s="25">
      <c r="A54" s="33" t="inlineStr">
        <is>
          <t>N° 160</t>
        </is>
      </c>
      <c r="B54" s="33" t="inlineStr">
        <is>
          <t>Request gen thiếu x-api-token bị từ chối</t>
        </is>
      </c>
    </row>
    <row r="55" ht="15" customHeight="1" s="25">
      <c r="A55" s="33" t="inlineStr">
        <is>
          <t>N° 165</t>
        </is>
      </c>
      <c r="B55" s="33" t="inlineStr">
        <is>
          <t>credit_refund khi hoàn lượt</t>
        </is>
      </c>
    </row>
    <row r="56" ht="15" customHeight="1" s="25">
      <c r="A56" s="33" t="inlineStr">
        <is>
          <t>N° 173</t>
        </is>
      </c>
      <c r="B56" s="33" t="inlineStr">
        <is>
          <t>ERR12 chỉ còn nghĩa hết lượt</t>
        </is>
      </c>
    </row>
  </sheetData>
  <mergeCells count="3">
    <mergeCell ref="A31:B31"/>
    <mergeCell ref="A1:B1"/>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5" customWidth="1" style="24" min="1" max="1"/>
    <col width="18" customWidth="1" style="24" min="2" max="2"/>
  </cols>
  <sheetData>
    <row r="1" ht="15" customHeight="1" s="25">
      <c r="A1" s="27" t="inlineStr">
        <is>
          <t>Nhóm TC</t>
        </is>
      </c>
      <c r="B1" s="27" t="inlineStr">
        <is>
          <t>Số lượng TC</t>
        </is>
      </c>
    </row>
    <row r="2" ht="15" customHeight="1" s="25">
      <c r="A2" s="50" t="inlineStr">
        <is>
          <t>1. Home Header — Badge số lượt &amp; nút Upgrade / Get Pro</t>
        </is>
      </c>
      <c r="B2" s="51" t="n">
        <v>14</v>
      </c>
    </row>
    <row r="3" ht="15" customHeight="1" s="25">
      <c r="A3" s="50" t="inlineStr">
        <is>
          <t>2. 410 Setting — dòng My Balance</t>
        </is>
      </c>
      <c r="B3" s="51" t="n">
        <v>3</v>
      </c>
    </row>
    <row r="4" ht="15" customHeight="1" s="25">
      <c r="A4" s="50" t="inlineStr">
        <is>
          <t>3. 413 My Balance</t>
        </is>
      </c>
      <c r="B4" s="51" t="n">
        <v>11</v>
      </c>
    </row>
    <row r="5" ht="15" customHeight="1" s="25">
      <c r="A5" s="50" t="inlineStr">
        <is>
          <t>4. Trừ lượt khi Gen (AC1)</t>
        </is>
      </c>
      <c r="B5" s="51" t="n">
        <v>29</v>
      </c>
    </row>
    <row r="6" ht="15" customHeight="1" s="25">
      <c r="A6" s="50" t="inlineStr">
        <is>
          <t>5. 481 Dialog hết lượt</t>
        </is>
      </c>
      <c r="B6" s="51" t="n">
        <v>7</v>
      </c>
    </row>
    <row r="7" ht="15" customHeight="1" s="25">
      <c r="A7" s="50" t="inlineStr">
        <is>
          <t>6. Màn topup &amp; mua Topup (AC2)</t>
        </is>
      </c>
      <c r="B7" s="51" t="n">
        <v>19</v>
      </c>
    </row>
    <row r="8" ht="15" customHeight="1" s="25">
      <c r="A8" s="50" t="inlineStr">
        <is>
          <t>7. Luồng Free user (AC3)</t>
        </is>
      </c>
      <c r="B8" s="51" t="n">
        <v>15</v>
      </c>
    </row>
    <row r="9" ht="15" customHeight="1" s="25">
      <c r="A9" s="50" t="inlineStr">
        <is>
          <t>8. 482 Mua thành công &amp; 483 Toast hoàn lượt</t>
        </is>
      </c>
      <c r="B9" s="51" t="n">
        <v>9</v>
      </c>
    </row>
    <row r="10" ht="15" customHeight="1" s="25">
      <c r="A10" s="50" t="inlineStr">
        <is>
          <t>9. Reset quota hằng ngày</t>
        </is>
      </c>
      <c r="B10" s="51" t="n">
        <v>8</v>
      </c>
    </row>
    <row r="11" ht="15" customHeight="1" s="25">
      <c r="A11" s="50" t="inlineStr">
        <is>
          <t>10. Grandfather (AC4) — quota_grandfather_until</t>
        </is>
      </c>
      <c r="B11" s="51" t="n">
        <v>10</v>
      </c>
    </row>
    <row r="12" ht="15" customHeight="1" s="25">
      <c r="A12" s="50" t="inlineStr">
        <is>
          <t>11. Định danh App User ID</t>
        </is>
      </c>
      <c r="B12" s="51" t="n">
        <v>9</v>
      </c>
    </row>
    <row r="13" ht="15" customHeight="1" s="25">
      <c r="A13" s="50" t="inlineStr">
        <is>
          <t>12. Cấu hình số lượt/ngày trên CMS</t>
        </is>
      </c>
      <c r="B13" s="51" t="n">
        <v>8</v>
      </c>
    </row>
    <row r="14" ht="15" customHeight="1" s="25">
      <c r="A14" s="50" t="inlineStr">
        <is>
          <t>13. Remote Config (Firebase)</t>
        </is>
      </c>
      <c r="B14" s="51" t="n">
        <v>7</v>
      </c>
    </row>
    <row r="15" ht="15" customHeight="1" s="25">
      <c r="A15" s="50" t="inlineStr">
        <is>
          <t>14. Copy, Paywall &amp; Policy</t>
        </is>
      </c>
      <c r="B15" s="51" t="n">
        <v>8</v>
      </c>
    </row>
    <row r="16" ht="15" customHeight="1" s="25">
      <c r="A16" s="50" t="inlineStr">
        <is>
          <t>15. Non-functional</t>
        </is>
      </c>
      <c r="B16" s="51" t="n">
        <v>4</v>
      </c>
    </row>
    <row r="17" ht="15" customHeight="1" s="25">
      <c r="A17" s="50" t="inlineStr">
        <is>
          <t>16. Event tracking</t>
        </is>
      </c>
      <c r="B17" s="51" t="n">
        <v>5</v>
      </c>
    </row>
    <row r="18" ht="15" customHeight="1" s="25">
      <c r="A18" s="50" t="inlineStr">
        <is>
          <t>17. Regression / E2E</t>
        </is>
      </c>
      <c r="B18" s="51" t="n">
        <v>7</v>
      </c>
    </row>
    <row r="19" ht="15" customHeight="1" s="25">
      <c r="A19" s="52" t="inlineStr">
        <is>
          <t>TOTAL</t>
        </is>
      </c>
      <c r="B19" s="53">
        <f>SUM(B2:B18)</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J2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42" customWidth="1" style="24" min="1" max="1"/>
    <col width="12" customWidth="1" style="24" min="2" max="10"/>
  </cols>
  <sheetData>
    <row r="1" ht="25.35" customHeight="1" s="25">
      <c r="A1" s="27" t="inlineStr">
        <is>
          <t>Feature</t>
        </is>
      </c>
      <c r="B1" s="27" t="inlineStr">
        <is>
          <t>Tổng TC</t>
        </is>
      </c>
      <c r="C1" s="27" t="inlineStr">
        <is>
          <t>UI</t>
        </is>
      </c>
      <c r="D1" s="27" t="inlineStr">
        <is>
          <t>Validate</t>
        </is>
      </c>
      <c r="E1" s="27" t="inlineStr">
        <is>
          <t>Logic</t>
        </is>
      </c>
      <c r="F1" s="27" t="inlineStr">
        <is>
          <t>Config</t>
        </is>
      </c>
      <c r="G1" s="27" t="inlineStr">
        <is>
          <t>Edge Case</t>
        </is>
      </c>
      <c r="H1" s="27" t="inlineStr">
        <is>
          <t>E2E/Regression</t>
        </is>
      </c>
      <c r="I1" s="27" t="inlineStr">
        <is>
          <t>% Negative</t>
        </is>
      </c>
      <c r="J1" s="27" t="inlineStr">
        <is>
          <t>TC chờ confirm</t>
        </is>
      </c>
    </row>
    <row r="2" ht="15" customHeight="1" s="25">
      <c r="A2" s="50" t="inlineStr">
        <is>
          <t>1. Home Header — Badge số lượt &amp; nút Upgrade / Get Pro</t>
        </is>
      </c>
      <c r="B2" s="50" t="n">
        <v>14</v>
      </c>
      <c r="C2" s="50" t="n">
        <v>1</v>
      </c>
      <c r="D2" s="50" t="n">
        <v>0</v>
      </c>
      <c r="E2" s="50" t="n">
        <v>10</v>
      </c>
      <c r="F2" s="50" t="n">
        <v>0</v>
      </c>
      <c r="G2" s="50" t="n">
        <v>3</v>
      </c>
      <c r="H2" s="50" t="n">
        <v>0</v>
      </c>
      <c r="I2" s="54">
        <f>7/B2</f>
        <v/>
      </c>
      <c r="J2" s="50" t="n">
        <v>3</v>
      </c>
    </row>
    <row r="3" ht="15" customHeight="1" s="25">
      <c r="A3" s="50" t="inlineStr">
        <is>
          <t>2. 410 Setting — dòng My Balance</t>
        </is>
      </c>
      <c r="B3" s="50" t="n">
        <v>3</v>
      </c>
      <c r="C3" s="50" t="n">
        <v>1</v>
      </c>
      <c r="D3" s="50" t="n">
        <v>0</v>
      </c>
      <c r="E3" s="50" t="n">
        <v>2</v>
      </c>
      <c r="F3" s="50" t="n">
        <v>0</v>
      </c>
      <c r="G3" s="50" t="n">
        <v>0</v>
      </c>
      <c r="H3" s="50" t="n">
        <v>0</v>
      </c>
      <c r="I3" s="54">
        <f>0/B3</f>
        <v/>
      </c>
      <c r="J3" s="50" t="n">
        <v>0</v>
      </c>
    </row>
    <row r="4" ht="15" customHeight="1" s="25">
      <c r="A4" s="50" t="inlineStr">
        <is>
          <t>3. 413 My Balance</t>
        </is>
      </c>
      <c r="B4" s="50" t="n">
        <v>11</v>
      </c>
      <c r="C4" s="50" t="n">
        <v>1</v>
      </c>
      <c r="D4" s="50" t="n">
        <v>1</v>
      </c>
      <c r="E4" s="50" t="n">
        <v>7</v>
      </c>
      <c r="F4" s="50" t="n">
        <v>0</v>
      </c>
      <c r="G4" s="50" t="n">
        <v>2</v>
      </c>
      <c r="H4" s="50" t="n">
        <v>0</v>
      </c>
      <c r="I4" s="54">
        <f>3/B4</f>
        <v/>
      </c>
      <c r="J4" s="50" t="n">
        <v>3</v>
      </c>
    </row>
    <row r="5" ht="15" customHeight="1" s="25">
      <c r="A5" s="50" t="inlineStr">
        <is>
          <t>4. Trừ lượt khi Gen (AC1)</t>
        </is>
      </c>
      <c r="B5" s="50" t="n">
        <v>29</v>
      </c>
      <c r="C5" s="50" t="n">
        <v>1</v>
      </c>
      <c r="D5" s="50" t="n">
        <v>0</v>
      </c>
      <c r="E5" s="50" t="n">
        <v>12</v>
      </c>
      <c r="F5" s="50" t="n">
        <v>0</v>
      </c>
      <c r="G5" s="50" t="n">
        <v>16</v>
      </c>
      <c r="H5" s="50" t="n">
        <v>0</v>
      </c>
      <c r="I5" s="54">
        <f>16/B5</f>
        <v/>
      </c>
      <c r="J5" s="50" t="n">
        <v>2</v>
      </c>
    </row>
    <row r="6" ht="15" customHeight="1" s="25">
      <c r="A6" s="50" t="inlineStr">
        <is>
          <t>5. 481 Dialog hết lượt</t>
        </is>
      </c>
      <c r="B6" s="50" t="n">
        <v>7</v>
      </c>
      <c r="C6" s="50" t="n">
        <v>1</v>
      </c>
      <c r="D6" s="50" t="n">
        <v>0</v>
      </c>
      <c r="E6" s="50" t="n">
        <v>5</v>
      </c>
      <c r="F6" s="50" t="n">
        <v>0</v>
      </c>
      <c r="G6" s="50" t="n">
        <v>1</v>
      </c>
      <c r="H6" s="50" t="n">
        <v>0</v>
      </c>
      <c r="I6" s="54">
        <f>2/B6</f>
        <v/>
      </c>
      <c r="J6" s="50" t="n">
        <v>0</v>
      </c>
    </row>
    <row r="7" ht="15" customHeight="1" s="25">
      <c r="A7" s="50" t="inlineStr">
        <is>
          <t>6. Màn topup &amp; mua Topup (AC2)</t>
        </is>
      </c>
      <c r="B7" s="50" t="n">
        <v>19</v>
      </c>
      <c r="C7" s="50" t="n">
        <v>1</v>
      </c>
      <c r="D7" s="50" t="n">
        <v>0</v>
      </c>
      <c r="E7" s="50" t="n">
        <v>6</v>
      </c>
      <c r="F7" s="50" t="n">
        <v>0</v>
      </c>
      <c r="G7" s="50" t="n">
        <v>12</v>
      </c>
      <c r="H7" s="50" t="n">
        <v>0</v>
      </c>
      <c r="I7" s="54">
        <f>12/B7</f>
        <v/>
      </c>
      <c r="J7" s="50" t="n">
        <v>5</v>
      </c>
    </row>
    <row r="8" ht="15" customHeight="1" s="25">
      <c r="A8" s="50" t="inlineStr">
        <is>
          <t>7. Luồng Free user (AC3)</t>
        </is>
      </c>
      <c r="B8" s="50" t="n">
        <v>15</v>
      </c>
      <c r="C8" s="50" t="n">
        <v>1</v>
      </c>
      <c r="D8" s="50" t="n">
        <v>0</v>
      </c>
      <c r="E8" s="50" t="n">
        <v>6</v>
      </c>
      <c r="F8" s="50" t="n">
        <v>0</v>
      </c>
      <c r="G8" s="50" t="n">
        <v>8</v>
      </c>
      <c r="H8" s="50" t="n">
        <v>0</v>
      </c>
      <c r="I8" s="54">
        <f>8/B8</f>
        <v/>
      </c>
      <c r="J8" s="50" t="n">
        <v>5</v>
      </c>
    </row>
    <row r="9" ht="15" customHeight="1" s="25">
      <c r="A9" s="50" t="inlineStr">
        <is>
          <t>8. 482 Mua thành công &amp; 483 Toast hoàn lượt</t>
        </is>
      </c>
      <c r="B9" s="50" t="n">
        <v>9</v>
      </c>
      <c r="C9" s="50" t="n">
        <v>2</v>
      </c>
      <c r="D9" s="50" t="n">
        <v>1</v>
      </c>
      <c r="E9" s="50" t="n">
        <v>4</v>
      </c>
      <c r="F9" s="50" t="n">
        <v>0</v>
      </c>
      <c r="G9" s="50" t="n">
        <v>2</v>
      </c>
      <c r="H9" s="50" t="n">
        <v>0</v>
      </c>
      <c r="I9" s="54">
        <f>3/B9</f>
        <v/>
      </c>
      <c r="J9" s="50" t="n">
        <v>3</v>
      </c>
    </row>
    <row r="10" ht="15" customHeight="1" s="25">
      <c r="A10" s="50" t="inlineStr">
        <is>
          <t>9. Reset quota hằng ngày</t>
        </is>
      </c>
      <c r="B10" s="50" t="n">
        <v>8</v>
      </c>
      <c r="C10" s="50" t="n">
        <v>0</v>
      </c>
      <c r="D10" s="50" t="n">
        <v>0</v>
      </c>
      <c r="E10" s="50" t="n">
        <v>5</v>
      </c>
      <c r="F10" s="50" t="n">
        <v>0</v>
      </c>
      <c r="G10" s="50" t="n">
        <v>3</v>
      </c>
      <c r="H10" s="50" t="n">
        <v>0</v>
      </c>
      <c r="I10" s="54">
        <f>3/B10</f>
        <v/>
      </c>
      <c r="J10" s="50" t="n">
        <v>1</v>
      </c>
    </row>
    <row r="11" ht="15" customHeight="1" s="25">
      <c r="A11" s="50" t="inlineStr">
        <is>
          <t>10. Grandfather (AC4) — quota_grandfather_until</t>
        </is>
      </c>
      <c r="B11" s="50" t="n">
        <v>10</v>
      </c>
      <c r="C11" s="50" t="n">
        <v>0</v>
      </c>
      <c r="D11" s="50" t="n">
        <v>0</v>
      </c>
      <c r="E11" s="50" t="n">
        <v>9</v>
      </c>
      <c r="F11" s="50" t="n">
        <v>0</v>
      </c>
      <c r="G11" s="50" t="n">
        <v>1</v>
      </c>
      <c r="H11" s="50" t="n">
        <v>0</v>
      </c>
      <c r="I11" s="54">
        <f>1/B11</f>
        <v/>
      </c>
      <c r="J11" s="50" t="n">
        <v>3</v>
      </c>
    </row>
    <row r="12" ht="15" customHeight="1" s="25">
      <c r="A12" s="50" t="inlineStr">
        <is>
          <t>11. Định danh App User ID</t>
        </is>
      </c>
      <c r="B12" s="50" t="n">
        <v>9</v>
      </c>
      <c r="C12" s="50" t="n">
        <v>0</v>
      </c>
      <c r="D12" s="50" t="n">
        <v>0</v>
      </c>
      <c r="E12" s="50" t="n">
        <v>4</v>
      </c>
      <c r="F12" s="50" t="n">
        <v>0</v>
      </c>
      <c r="G12" s="50" t="n">
        <v>5</v>
      </c>
      <c r="H12" s="50" t="n">
        <v>0</v>
      </c>
      <c r="I12" s="54">
        <f>5/B12</f>
        <v/>
      </c>
      <c r="J12" s="50" t="n">
        <v>0</v>
      </c>
    </row>
    <row r="13" ht="15" customHeight="1" s="25">
      <c r="A13" s="50" t="inlineStr">
        <is>
          <t>12. Cấu hình số lượt/ngày trên CMS</t>
        </is>
      </c>
      <c r="B13" s="50" t="n">
        <v>8</v>
      </c>
      <c r="C13" s="50" t="n">
        <v>0</v>
      </c>
      <c r="D13" s="50" t="n">
        <v>1</v>
      </c>
      <c r="E13" s="50" t="n">
        <v>4</v>
      </c>
      <c r="F13" s="50" t="n">
        <v>0</v>
      </c>
      <c r="G13" s="50" t="n">
        <v>3</v>
      </c>
      <c r="H13" s="50" t="n">
        <v>0</v>
      </c>
      <c r="I13" s="54">
        <f>4/B13</f>
        <v/>
      </c>
      <c r="J13" s="50" t="n">
        <v>5</v>
      </c>
    </row>
    <row r="14" ht="15" customHeight="1" s="25">
      <c r="A14" s="50" t="inlineStr">
        <is>
          <t>13. Remote Config (Firebase)</t>
        </is>
      </c>
      <c r="B14" s="50" t="n">
        <v>7</v>
      </c>
      <c r="C14" s="50" t="n">
        <v>0</v>
      </c>
      <c r="D14" s="50" t="n">
        <v>2</v>
      </c>
      <c r="E14" s="50" t="n">
        <v>0</v>
      </c>
      <c r="F14" s="50" t="n">
        <v>5</v>
      </c>
      <c r="G14" s="50" t="n">
        <v>0</v>
      </c>
      <c r="H14" s="50" t="n">
        <v>0</v>
      </c>
      <c r="I14" s="54">
        <f>5/B14</f>
        <v/>
      </c>
      <c r="J14" s="50" t="n">
        <v>6</v>
      </c>
    </row>
    <row r="15" ht="15" customHeight="1" s="25">
      <c r="A15" s="50" t="inlineStr">
        <is>
          <t>14. Copy, Paywall &amp; Policy</t>
        </is>
      </c>
      <c r="B15" s="50" t="n">
        <v>8</v>
      </c>
      <c r="C15" s="50" t="n">
        <v>4</v>
      </c>
      <c r="D15" s="50" t="n">
        <v>3</v>
      </c>
      <c r="E15" s="50" t="n">
        <v>0</v>
      </c>
      <c r="F15" s="50" t="n">
        <v>0</v>
      </c>
      <c r="G15" s="50" t="n">
        <v>0</v>
      </c>
      <c r="H15" s="50" t="n">
        <v>1</v>
      </c>
      <c r="I15" s="54">
        <f>3/B15</f>
        <v/>
      </c>
      <c r="J15" s="50" t="n">
        <v>0</v>
      </c>
    </row>
    <row r="16" ht="15" customHeight="1" s="25">
      <c r="A16" s="50" t="inlineStr">
        <is>
          <t>15. Non-functional</t>
        </is>
      </c>
      <c r="B16" s="50" t="n">
        <v>4</v>
      </c>
      <c r="C16" s="50" t="n">
        <v>0</v>
      </c>
      <c r="D16" s="50" t="n">
        <v>0</v>
      </c>
      <c r="E16" s="50" t="n">
        <v>1</v>
      </c>
      <c r="F16" s="50" t="n">
        <v>0</v>
      </c>
      <c r="G16" s="50" t="n">
        <v>3</v>
      </c>
      <c r="H16" s="50" t="n">
        <v>0</v>
      </c>
      <c r="I16" s="54">
        <f>3/B16</f>
        <v/>
      </c>
      <c r="J16" s="50" t="n">
        <v>1</v>
      </c>
    </row>
    <row r="17" ht="15" customHeight="1" s="25">
      <c r="A17" s="50" t="inlineStr">
        <is>
          <t>16. Event tracking</t>
        </is>
      </c>
      <c r="B17" s="50" t="n">
        <v>5</v>
      </c>
      <c r="C17" s="50" t="n">
        <v>0</v>
      </c>
      <c r="D17" s="50" t="n">
        <v>0</v>
      </c>
      <c r="E17" s="50" t="n">
        <v>4</v>
      </c>
      <c r="F17" s="50" t="n">
        <v>0</v>
      </c>
      <c r="G17" s="50" t="n">
        <v>1</v>
      </c>
      <c r="H17" s="50" t="n">
        <v>0</v>
      </c>
      <c r="I17" s="54">
        <f>1/B17</f>
        <v/>
      </c>
      <c r="J17" s="50" t="n">
        <v>1</v>
      </c>
    </row>
    <row r="18" ht="15" customHeight="1" s="25">
      <c r="A18" s="50" t="inlineStr">
        <is>
          <t>17. Regression / E2E</t>
        </is>
      </c>
      <c r="B18" s="50" t="n">
        <v>7</v>
      </c>
      <c r="C18" s="50" t="n">
        <v>0</v>
      </c>
      <c r="D18" s="50" t="n">
        <v>0</v>
      </c>
      <c r="E18" s="50" t="n">
        <v>0</v>
      </c>
      <c r="F18" s="50" t="n">
        <v>0</v>
      </c>
      <c r="G18" s="50" t="n">
        <v>0</v>
      </c>
      <c r="H18" s="50" t="n">
        <v>7</v>
      </c>
      <c r="I18" s="54">
        <f>0/B18</f>
        <v/>
      </c>
      <c r="J18" s="50" t="n">
        <v>0</v>
      </c>
    </row>
    <row r="19" ht="15" customHeight="1" s="25">
      <c r="A19" s="52" t="inlineStr">
        <is>
          <t>TOTAL</t>
        </is>
      </c>
      <c r="B19" s="24">
        <f>SUM(B2:B18)</f>
        <v/>
      </c>
      <c r="C19" s="24">
        <f>SUM(C2:C18)</f>
        <v/>
      </c>
      <c r="D19" s="24">
        <f>SUM(D2:D18)</f>
        <v/>
      </c>
      <c r="E19" s="24">
        <f>SUM(E2:E18)</f>
        <v/>
      </c>
      <c r="F19" s="24">
        <f>SUM(F2:F18)</f>
        <v/>
      </c>
      <c r="G19" s="24">
        <f>SUM(G2:G18)</f>
        <v/>
      </c>
      <c r="H19" s="24">
        <f>SUM(H2:H18)</f>
        <v/>
      </c>
      <c r="I19" s="55">
        <f>76/B19</f>
        <v/>
      </c>
      <c r="J19" s="24">
        <f>SUM(J2:J18)</f>
        <v/>
      </c>
    </row>
    <row r="21" ht="15" customHeight="1" s="25">
      <c r="A21" s="24" t="inlineStr">
        <is>
          <t>Negative = Validate + Edge Case + các TC negative trong Logic/Config. Ngưỡng monetization (critical) ≥ 30%.</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F3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5" customWidth="1" style="24" min="1" max="1"/>
    <col width="9" customWidth="1" style="24" min="2" max="2"/>
    <col width="32" customWidth="1" style="24" min="3" max="3"/>
    <col width="70" customWidth="1" style="24" min="4" max="4"/>
    <col width="45" customWidth="1" style="24" min="5" max="5"/>
    <col width="14" customWidth="1" style="24" min="6" max="6"/>
  </cols>
  <sheetData>
    <row r="1" ht="15" customHeight="1" s="25">
      <c r="A1" s="27" t="inlineStr">
        <is>
          <t>#</t>
        </is>
      </c>
      <c r="B1" s="27" t="inlineStr">
        <is>
          <t>Priority</t>
        </is>
      </c>
      <c r="C1" s="27" t="inlineStr">
        <is>
          <t>Mục spec</t>
        </is>
      </c>
      <c r="D1" s="27" t="inlineStr">
        <is>
          <t>Vấn đề / Mâu thuẫn</t>
        </is>
      </c>
      <c r="E1" s="27" t="inlineStr">
        <is>
          <t>Đề xuất / Câu hỏi PO</t>
        </is>
      </c>
      <c r="F1" s="27" t="inlineStr">
        <is>
          <t>Status</t>
        </is>
      </c>
    </row>
    <row r="2" ht="75" customHeight="1" s="25">
      <c r="A2" s="33" t="n">
        <v>1</v>
      </c>
      <c r="B2" s="56" t="inlineStr">
        <is>
          <t>P0</t>
        </is>
      </c>
      <c r="C2" s="33" t="inlineStr">
        <is>
          <t>Mục 6 'Con số trên thẻ — một công thức duy nhất' vs Mục 4 / Sổ QĐ 17/08</t>
        </is>
      </c>
      <c r="D2" s="33" t="inlineStr">
        <is>
          <t>Mục 6 ghi 413 và màn topup CÙNG hiển thị topup_balance + quota_balance; chốt 17/08 + bảng mục 4 + copy '{N} top-up creations left' ghi màn topup CHỈ hiển thị topup_balance.</t>
        </is>
      </c>
      <c r="E2" s="33" t="inlineStr">
        <is>
          <t>Xoá đoạn mục 6 hoặc sửa lại. TC đang theo chốt 17/08 (màn topup = chỉ topup).</t>
        </is>
      </c>
      <c r="F2" s="33" t="inlineStr">
        <is>
          <t>Open</t>
        </is>
      </c>
    </row>
    <row r="3" ht="75" customHeight="1" s="25">
      <c r="A3" s="33" t="n">
        <v>2</v>
      </c>
      <c r="B3" s="56" t="inlineStr">
        <is>
          <t>P0</t>
        </is>
      </c>
      <c r="C3" s="33" t="inlineStr">
        <is>
          <t>Dòng nhắc thứ tự tiêu — Mục 2, 4, AC2 S2/S3, Mục 8 (2 dòng), 13.1, 13.5 vs Mục 6 (gỡ 19/08)</t>
        </is>
      </c>
      <c r="D3" s="33" t="inlineStr">
        <is>
          <t>PO gỡ dòng nhắc 19/08 nhưng 6–8 chỗ khác vẫn ghi 'phải hiện'. Edge case 'Subscriber còn quota mà vào 413' vẫn ghi hiện. Dev đọc chỗ nào cũng có thể code khác.</t>
        </is>
      </c>
      <c r="E3" s="33" t="inlineStr">
        <is>
          <t>BA rà lại toàn doc. TC theo mục 6 (không hiện).</t>
        </is>
      </c>
      <c r="F3" s="33" t="inlineStr">
        <is>
          <t>Open</t>
        </is>
      </c>
    </row>
    <row r="4" ht="75" customHeight="1" s="25">
      <c r="A4" s="33" t="n">
        <v>3</v>
      </c>
      <c r="B4" s="56" t="inlineStr">
        <is>
          <t>P0</t>
        </is>
      </c>
      <c r="C4" s="33" t="inlineStr">
        <is>
          <t>Mục 7 / Mục 12 ⚠ CHẶN — nguồn config</t>
        </is>
      </c>
      <c r="D4" s="33" t="inlineStr">
        <is>
          <t>Số lượt/ngày đã chốt: PO cấu hình trên CMS, KHÔNG còn key daily_quota_amount trên Firebase. Các key còn lại (enable_daily_quota, enable_topup, topup_offer_max_per_day, quota_grandfather_until) vẫn ở Firebase RC — BE đọc các key này từ đâu (VD quota_grandfather_until để quyết định áp quota)?</t>
        </is>
      </c>
      <c r="E4" s="33" t="inlineStr">
        <is>
          <t>Chốt nguồn cho các key còn lại; cập nhật mục 7 spec (bỏ daily_quota_amount khỏi bảng RC, thêm mục cấu hình CMS).</t>
        </is>
      </c>
      <c r="F4" s="33" t="inlineStr">
        <is>
          <t>Open</t>
        </is>
      </c>
    </row>
    <row r="5" ht="75" customHeight="1" s="25">
      <c r="A5" s="33" t="n">
        <v>4</v>
      </c>
      <c r="B5" s="56" t="inlineStr">
        <is>
          <t>P0</t>
        </is>
      </c>
      <c r="C5" s="33" t="inlineStr">
        <is>
          <t>NFR / Mục 12 ⚠ CHẶN — công cụ seed số dư</t>
        </is>
      </c>
      <c r="D5" s="33" t="inlineStr">
        <is>
          <t>Hiện KHÔNG có công cụ seed số dư / ép reset. File TC đã chuyển sang setup ví bằng thao tác thật (gen thật, mua topup sandbox, chờ mốc 07:00 VN). Mỗi tài khoản chỉ tạo được 1 trạng thái quota/ngày → tốn thời gian; một số TC (vendor fail/timeout/treo, delay webhook, kiểm sổ BE, gọi API trực tiếp) vẫn cần BE/Infra hỗ trợ — đánh dấu [Cần BE hỗ trợ].</t>
        </is>
      </c>
      <c r="E5" s="33" t="inlineStr">
        <is>
          <t>Hỏi BE: (1) có kế hoạch làm công cụ seed không; (2) có thể giả lập lỗi vendor ở môi trường test không; (3) nhờ PO đặt số lượt/ngày nhỏ (VD 3) trên CMS môi trường test để rút ngắn setup.</t>
        </is>
      </c>
      <c r="F5" s="33" t="inlineStr">
        <is>
          <t>Open</t>
        </is>
      </c>
    </row>
    <row r="6" ht="75" customHeight="1" s="25">
      <c r="A6" s="33" t="n">
        <v>5</v>
      </c>
      <c r="B6" s="57" t="inlineStr">
        <is>
          <t>P1</t>
        </is>
      </c>
      <c r="C6" s="33" t="inlineStr">
        <is>
          <t>NFR 'Home không hiển thị số dư nên không cần refresh khi vào Home' vs chốt 17/08 có badge</t>
        </is>
      </c>
      <c r="D6" s="33" t="inlineStr">
        <is>
          <t>Từ 17/08 Home có badge số lượt. Badge refresh khi nào: qua mốc reset khi app đang foreground, số dư đổi từ thiết bị khác, sau auto-release?</t>
        </is>
      </c>
      <c r="E6" s="33" t="inlineStr">
        <is>
          <t>Bổ sung trigger refresh cho badge.</t>
        </is>
      </c>
      <c r="F6" s="33" t="inlineStr">
        <is>
          <t>Open</t>
        </is>
      </c>
    </row>
    <row r="7" ht="75" customHeight="1" s="25">
      <c r="A7" s="33" t="n">
        <v>6</v>
      </c>
      <c r="B7" s="57" t="inlineStr">
        <is>
          <t>P1</t>
        </is>
      </c>
      <c r="C7" s="33" t="inlineStr">
        <is>
          <t>AC1 S4 'App không gửi request nếu đã biết số dư = 0 từ get_info'</t>
        </is>
      </c>
      <c r="D7" s="33" t="inlineStr">
        <is>
          <t>App có gọi get_info tại thời điểm bấm Generate không? Nếu dùng cache cũ = 0 mà BE đã reset → user bị 481 sai.</t>
        </is>
      </c>
      <c r="E7" s="33" t="inlineStr">
        <is>
          <t>Chốt: refresh get_info trước khi quyết định hiện 481.</t>
        </is>
      </c>
      <c r="F7" s="33" t="inlineStr">
        <is>
          <t>Open</t>
        </is>
      </c>
    </row>
    <row r="8" ht="75" customHeight="1" s="25">
      <c r="A8" s="33" t="n">
        <v>7</v>
      </c>
      <c r="B8" s="57" t="inlineStr">
        <is>
          <t>P1</t>
        </is>
      </c>
      <c r="C8" s="33" t="inlineStr">
        <is>
          <t>NFR Offline / Mục 8</t>
        </is>
      </c>
      <c r="D8" s="33" t="inlineStr">
        <is>
          <t>Copy thông báo 'cần mạng' chưa định nghĩa. Badge Home và 413 hiển thị gì khi offline / get_info lỗi?</t>
        </is>
      </c>
      <c r="E8" s="33" t="inlineStr">
        <is>
          <t>Bổ sung copy + trạng thái offline cho badge, 413.</t>
        </is>
      </c>
      <c r="F8" s="33" t="inlineStr">
        <is>
          <t>Open</t>
        </is>
      </c>
    </row>
    <row r="9" ht="75" customHeight="1" s="25">
      <c r="A9" s="33" t="n">
        <v>8</v>
      </c>
      <c r="B9" s="57" t="inlineStr">
        <is>
          <t>P1</t>
        </is>
      </c>
      <c r="C9" s="33" t="inlineStr">
        <is>
          <t>AC2 S8</t>
        </is>
      </c>
      <c r="D9" s="33" t="inlineStr">
        <is>
          <t>Thông báo lỗi thanh toán trên màn topup chưa có copy; có phân biệt lỗi mạng / thẻ / store không?</t>
        </is>
      </c>
      <c r="E9" s="33" t="inlineStr">
        <is>
          <t>Bổ sung copy.</t>
        </is>
      </c>
      <c r="F9" s="33" t="inlineStr">
        <is>
          <t>Open</t>
        </is>
      </c>
    </row>
    <row r="10" ht="75" customHeight="1" s="25">
      <c r="A10" s="33" t="n">
        <v>9</v>
      </c>
      <c r="B10" s="57" t="inlineStr">
        <is>
          <t>P1</t>
        </is>
      </c>
      <c r="C10" s="33" t="inlineStr">
        <is>
          <t>Mục 4 (1 màn topup cho mọi user) vs Mục 6 (2 bộ copy)</t>
        </is>
      </c>
      <c r="D10" s="33" t="inlineStr">
        <is>
          <t>Cùng offering 216_0.99 nhưng subscriber thấy 'Top-up creations / Choose a Package / Purchase', free user thấy 'Chỉ muốn thử lần này? / $0.99 — Tạo 1 lần / Không, cảm ơn'. Free user vào qua pull (413) thấy bộ nào? Có nút 'Không, cảm ơn' không?</t>
        </is>
      </c>
      <c r="E10" s="33" t="inlineStr">
        <is>
          <t>Chốt bộ copy theo (user_type, entry_point).</t>
        </is>
      </c>
      <c r="F10" s="33" t="inlineStr">
        <is>
          <t>Open</t>
        </is>
      </c>
    </row>
    <row r="11" ht="75" customHeight="1" s="25">
      <c r="A11" s="33" t="n">
        <v>10</v>
      </c>
      <c r="B11" s="57" t="inlineStr">
        <is>
          <t>P1</t>
        </is>
      </c>
      <c r="C11" s="33" t="inlineStr">
        <is>
          <t>AC2 S4 / AC3 S5</t>
        </is>
      </c>
      <c r="D11" s="33" t="inlineStr">
        <is>
          <t>Free user mua qua pull (không có flow gen dở): nút 'Tiếp tục tạo' ở 482 làm gì?</t>
        </is>
      </c>
      <c r="E11" s="33" t="inlineStr">
        <is>
          <t>Chốt hành vi nút hoặc ẩn nút ở đường pull.</t>
        </is>
      </c>
      <c r="F11" s="33" t="inlineStr">
        <is>
          <t>Open</t>
        </is>
      </c>
    </row>
    <row r="12" ht="75" customHeight="1" s="25">
      <c r="A12" s="33" t="n">
        <v>11</v>
      </c>
      <c r="B12" s="57" t="inlineStr">
        <is>
          <t>P1</t>
        </is>
      </c>
      <c r="C12" s="33" t="inlineStr">
        <is>
          <t>Mục 6 '482 — subscriber: Chỉ xác nhận'</t>
        </is>
      </c>
      <c r="D12" s="33" t="inlineStr">
        <is>
          <t>Copy 482 subscriber chưa có; đóng bằng nút gì / tự đóng? Đường push: gen tự chạy tiếp ngay khi hiện 482 hay sau khi đóng?</t>
        </is>
      </c>
      <c r="E12" s="33" t="inlineStr">
        <is>
          <t>Bổ sung copy + hành vi.</t>
        </is>
      </c>
      <c r="F12" s="33" t="inlineStr">
        <is>
          <t>Open</t>
        </is>
      </c>
    </row>
    <row r="13" ht="75" customHeight="1" s="25">
      <c r="A13" s="33" t="n">
        <v>12</v>
      </c>
      <c r="B13" s="57" t="inlineStr">
        <is>
          <t>P1</t>
        </is>
      </c>
      <c r="C13" s="33" t="inlineStr">
        <is>
          <t>AC1 S8 / Mục 8</t>
        </is>
      </c>
      <c r="D13" s="33" t="inlineStr">
        <is>
          <t>Gen HOLD ở ví quota trước mốc, fail sau mốc → không hoàn. App hiển thị gì? Toast 483 nói 'đã được hoàn lại' là sai; không có toast thì user không biết gen fail.</t>
        </is>
      </c>
      <c r="E13" s="33" t="inlineStr">
        <is>
          <t>Định nghĩa thông báo riêng cho case này.</t>
        </is>
      </c>
      <c r="F13" s="33" t="inlineStr">
        <is>
          <t>Open</t>
        </is>
      </c>
    </row>
    <row r="14" ht="75" customHeight="1" s="25">
      <c r="A14" s="33" t="n">
        <v>13</v>
      </c>
      <c r="B14" s="57" t="inlineStr">
        <is>
          <t>P1</t>
        </is>
      </c>
      <c r="C14" s="33" t="inlineStr">
        <is>
          <t>Mục 4 — mã Last-chance</t>
        </is>
      </c>
      <c r="D14" s="33" t="inlineStr">
        <is>
          <t>Enhance có mã topup 216 nhưng không có mã Last-chance. Free user dùng Enhance có bước Last-chance không?</t>
        </is>
      </c>
      <c r="E14" s="33" t="inlineStr">
        <is>
          <t>Dev iOS xác nhận; tạo mã nếu thiếu.</t>
        </is>
      </c>
      <c r="F14" s="33" t="inlineStr">
        <is>
          <t>Open</t>
        </is>
      </c>
    </row>
    <row r="15" ht="75" customHeight="1" s="25">
      <c r="A15" s="33" t="n">
        <v>14</v>
      </c>
      <c r="B15" s="57" t="inlineStr">
        <is>
          <t>P1</t>
        </is>
      </c>
      <c r="C15" s="33" t="inlineStr">
        <is>
          <t>Mục 8 'Subscriber hết hạn sub mà còn topup'</t>
        </is>
      </c>
      <c r="D15" s="33" t="inlineStr">
        <is>
          <t>Chỉ nói ví topup. Còn quota_balance &gt; 0 khi sub hết hạn giữa ngày thì sao: huỷ ngay? 413 hiện gì?</t>
        </is>
      </c>
      <c r="E15" s="33" t="inlineStr">
        <is>
          <t>Bổ sung rule.</t>
        </is>
      </c>
      <c r="F15" s="33" t="inlineStr">
        <is>
          <t>Open</t>
        </is>
      </c>
    </row>
    <row r="16" ht="75" customHeight="1" s="25">
      <c r="A16" s="33" t="n">
        <v>15</v>
      </c>
      <c r="B16" s="57" t="inlineStr">
        <is>
          <t>P1</t>
        </is>
      </c>
      <c r="C16" s="33" t="inlineStr">
        <is>
          <t>AC4 / Mục 1.2</t>
        </is>
      </c>
      <c r="D16" s="33" t="inlineStr">
        <is>
          <t>Free user mua sub giữa ngày: quota 20 có cấp ngay không? Mua → refund → mua lại trong ngày có cấp lại 20? Đổi Weekly → Yearly giữa ngày có reset quota?</t>
        </is>
      </c>
      <c r="E16" s="33" t="inlineStr">
        <is>
          <t>Bổ sung rule cấp quota khi đổi trạng thái sub.</t>
        </is>
      </c>
      <c r="F16" s="33" t="inlineStr">
        <is>
          <t>Open</t>
        </is>
      </c>
    </row>
    <row r="17" ht="75" customHeight="1" s="25">
      <c r="A17" s="33" t="n">
        <v>16</v>
      </c>
      <c r="B17" s="57" t="inlineStr">
        <is>
          <t>P1</t>
        </is>
      </c>
      <c r="C17" s="33" t="inlineStr">
        <is>
          <t>Mục 7 enable_topup</t>
        </is>
      </c>
      <c r="D17" s="33" t="inlineStr">
        <is>
          <t>enable_topup = false: nút Get More ('luôn hiện'), CTA 'Mua thêm' ở 481, màn topup offer của free user xử lý thế nào?</t>
        </is>
      </c>
      <c r="E17" s="33" t="inlineStr">
        <is>
          <t>Định nghĩa hành vi khi tắt topup.</t>
        </is>
      </c>
      <c r="F17" s="33" t="inlineStr">
        <is>
          <t>Open</t>
        </is>
      </c>
    </row>
    <row r="18" ht="75" customHeight="1" s="25">
      <c r="A18" s="33" t="n">
        <v>17</v>
      </c>
      <c r="B18" s="57" t="inlineStr">
        <is>
          <t>P1</t>
        </is>
      </c>
      <c r="C18" s="33" t="inlineStr">
        <is>
          <t>Mục 7 / AC4</t>
        </is>
      </c>
      <c r="D18" s="33" t="inlineStr">
        <is>
          <t>enable_daily_quota = true nhưng quota_grandfather_until rỗng ('không áp quota cho ai') — badge, 413, dòng My Balance hiển thị gì? Rollout luôn có khoảng thời gian này. Tương tự khi enable_daily_quota = false.</t>
        </is>
      </c>
      <c r="E18" s="33" t="inlineStr">
        <is>
          <t>Định nghĩa UI cho 2 trạng thái này.</t>
        </is>
      </c>
      <c r="F18" s="33" t="inlineStr">
        <is>
          <t>Open</t>
        </is>
      </c>
    </row>
    <row r="19" ht="75" customHeight="1" s="25">
      <c r="A19" s="33" t="n">
        <v>18</v>
      </c>
      <c r="B19" s="58" t="inlineStr">
        <is>
          <t>P2</t>
        </is>
      </c>
      <c r="C19" s="33" t="inlineStr">
        <is>
          <t>Mục 6 / Mục 7 — số lượt/ngày</t>
        </is>
      </c>
      <c r="D19" s="33" t="inlineStr">
        <is>
          <t>Số lượt/ngày do PO cấu hình trên CMS, không cố định 20 — TC viết theo Q. Spec vẫn ghi cứng "20" ở copy paywall, Chào mừng, 482, mô tả ASC.</t>
        </is>
      </c>
      <c r="E19" s="33" t="inlineStr">
        <is>
          <t>PO/BA xác nhận copy động theo giá trị CMS; cập nhật spec bỏ số cứng 20.</t>
        </is>
      </c>
      <c r="F19" s="33" t="inlineStr">
        <is>
          <t>Open</t>
        </is>
      </c>
    </row>
    <row r="20" ht="75" customHeight="1" s="25">
      <c r="A20" s="33" t="n">
        <v>19</v>
      </c>
      <c r="B20" s="58" t="inlineStr">
        <is>
          <t>P2</t>
        </is>
      </c>
      <c r="C20" s="33" t="inlineStr">
        <is>
          <t>Mục 7 topup_offer_max_per_day</t>
        </is>
      </c>
      <c r="D20" s="33" t="inlineStr">
        <is>
          <t>Giá trị 0 / âm / sai kiểu → hành vi? Copy spec ghi cứng '1 lần/ngày'.</t>
        </is>
      </c>
      <c r="E20" s="33" t="inlineStr">
        <is>
          <t>Chốt fallback.</t>
        </is>
      </c>
      <c r="F20" s="33" t="inlineStr">
        <is>
          <t>Open</t>
        </is>
      </c>
    </row>
    <row r="21" ht="75" customHeight="1" s="25">
      <c r="A21" s="33" t="n">
        <v>20</v>
      </c>
      <c r="B21" s="58" t="inlineStr">
        <is>
          <t>P2</t>
        </is>
      </c>
      <c r="C21" s="33" t="inlineStr">
        <is>
          <t>Mục 7</t>
        </is>
      </c>
      <c r="D21" s="33" t="inlineStr">
        <is>
          <t>Bật/tắt enable_daily_quota khi app đang chạy: áp dụng ngay hay sau restart? Tắt lại sau khi đã bật thì ví hiện có xử lý sao?</t>
        </is>
      </c>
      <c r="E21" s="33" t="inlineStr">
        <is>
          <t>Bổ sung.</t>
        </is>
      </c>
      <c r="F21" s="33" t="inlineStr">
        <is>
          <t>Open</t>
        </is>
      </c>
    </row>
    <row r="22" ht="75" customHeight="1" s="25">
      <c r="A22" s="33" t="n">
        <v>21</v>
      </c>
      <c r="B22" s="59" t="inlineStr">
        <is>
          <t>P3</t>
        </is>
      </c>
      <c r="C22" s="33" t="inlineStr">
        <is>
          <t>Mục 12 dòng Remote Config</t>
        </is>
      </c>
      <c r="D22" s="33" t="inlineStr">
        <is>
          <t>Đã khớp ở v114: mục 7 còn đúng 4 key Firebase sau khi chuyển số lượt/ngày sang CMS.</t>
        </is>
      </c>
      <c r="E22" s="33" t="inlineStr">
        <is>
          <t>—</t>
        </is>
      </c>
      <c r="F22" s="33" t="inlineStr">
        <is>
          <t>Closed</t>
        </is>
      </c>
    </row>
    <row r="23" ht="75" customHeight="1" s="25">
      <c r="A23" s="33" t="n">
        <v>22</v>
      </c>
      <c r="B23" s="58" t="inlineStr">
        <is>
          <t>P2</t>
        </is>
      </c>
      <c r="C23" s="33" t="inlineStr">
        <is>
          <t>Mục 9 Event</t>
        </is>
      </c>
      <c r="D23" s="33" t="inlineStr">
        <is>
          <t>purchase_index 'free user: 1–3' lỗi thời sau khi bỏ trần; event credit_refund dùng chữ credit; topup_oq_buy_click, topup_pw_purchase_click, quota_gen_cancel, quota_refund được nhắc ở mục khác nhưng không có trong bảng mục 9.</t>
        </is>
      </c>
      <c r="E23" s="33" t="inlineStr">
        <is>
          <t>Cập nhật spec event.</t>
        </is>
      </c>
      <c r="F23" s="33" t="inlineStr">
        <is>
          <t>Open</t>
        </is>
      </c>
    </row>
    <row r="24" ht="75" customHeight="1" s="25">
      <c r="A24" s="33" t="n">
        <v>23</v>
      </c>
      <c r="B24" s="58" t="inlineStr">
        <is>
          <t>P2</t>
        </is>
      </c>
      <c r="C24" s="33" t="inlineStr">
        <is>
          <t>AC1 S6</t>
        </is>
      </c>
      <c r="D24" s="33" t="inlineStr">
        <is>
          <t>Toast 483 cho pending_refund 'ở lần mở app kế tiếp' — nếu auto-release xảy ra khi app vẫn foreground thì toast hiện lúc nào?</t>
        </is>
      </c>
      <c r="E24" s="33" t="inlineStr">
        <is>
          <t>Bổ sung.</t>
        </is>
      </c>
      <c r="F24" s="33" t="inlineStr">
        <is>
          <t>Open</t>
        </is>
      </c>
    </row>
    <row r="25" ht="75" customHeight="1" s="25">
      <c r="A25" s="33" t="n">
        <v>24</v>
      </c>
      <c r="B25" s="58" t="inlineStr">
        <is>
          <t>P2</t>
        </is>
      </c>
      <c r="C25" s="33" t="inlineStr">
        <is>
          <t>AC3 S1/S6</t>
        </is>
      </c>
      <c r="D25" s="33" t="inlineStr">
        <is>
          <t>'Đã hiện offer hôm nay' tính lúc màn hiển thị hay lúc user đóng? Kill app khi đang ở màn topup có tính không?</t>
        </is>
      </c>
      <c r="E25" s="33" t="inlineStr">
        <is>
          <t>Chốt thời điểm ghi nhận.</t>
        </is>
      </c>
      <c r="F25" s="33" t="inlineStr">
        <is>
          <t>Open</t>
        </is>
      </c>
    </row>
    <row r="26" ht="75" customHeight="1" s="25">
      <c r="A26" s="33" t="n">
        <v>25</v>
      </c>
      <c r="B26" s="58" t="inlineStr">
        <is>
          <t>P2</t>
        </is>
      </c>
      <c r="C26" s="33" t="inlineStr">
        <is>
          <t>AC2 S11</t>
        </is>
      </c>
      <c r="D26" s="33" t="inlineStr">
        <is>
          <t>Ask to Buy / giao dịch pending: màn topup hiển thị gì trong lúc chờ duyệt?</t>
        </is>
      </c>
      <c r="E26" s="33" t="inlineStr">
        <is>
          <t>Bổ sung UI pending.</t>
        </is>
      </c>
      <c r="F26" s="33" t="inlineStr">
        <is>
          <t>Open</t>
        </is>
      </c>
    </row>
    <row r="27" ht="75" customHeight="1" s="25">
      <c r="A27" s="33" t="n">
        <v>26</v>
      </c>
      <c r="B27" s="58" t="inlineStr">
        <is>
          <t>P2</t>
        </is>
      </c>
      <c r="C27" s="33" t="inlineStr">
        <is>
          <t>Mục 8 'Grandfather mua topup'</t>
        </is>
      </c>
      <c r="D27" s="33" t="inlineStr">
        <is>
          <t>413 grandfather hiện 'Unlimited' → user không thấy được số topup đã mua. Màn topup hiện '{N} top-up creations left' đúng không?</t>
        </is>
      </c>
      <c r="E27" s="33" t="inlineStr">
        <is>
          <t>Confirm.</t>
        </is>
      </c>
      <c r="F27" s="33" t="inlineStr">
        <is>
          <t>Open</t>
        </is>
      </c>
    </row>
    <row r="28" ht="75" customHeight="1" s="25">
      <c r="A28" s="33" t="n">
        <v>27</v>
      </c>
      <c r="B28" s="58" t="inlineStr">
        <is>
          <t>P2</t>
        </is>
      </c>
      <c r="C28" s="33" t="inlineStr">
        <is>
          <t>AC4 S1</t>
        </is>
      </c>
      <c r="D28" s="33" t="inlineStr">
        <is>
          <t>Thông báo in-app cho grandfather khi chu kỳ sắp hết: trước bao nhiêu ngày, copy, tần suất?</t>
        </is>
      </c>
      <c r="E28" s="33" t="inlineStr">
        <is>
          <t>Bổ sung.</t>
        </is>
      </c>
      <c r="F28" s="33" t="inlineStr">
        <is>
          <t>Open</t>
        </is>
      </c>
    </row>
    <row r="29" ht="75" customHeight="1" s="25">
      <c r="A29" s="33" t="n">
        <v>28</v>
      </c>
      <c r="B29" s="58" t="inlineStr">
        <is>
          <t>P2</t>
        </is>
      </c>
      <c r="C29" s="33" t="inlineStr">
        <is>
          <t>AC1 vòng đời HOLD</t>
        </is>
      </c>
      <c r="D29" s="33" t="inlineStr">
        <is>
          <t>Trong lúc gen (HOLD), badge/413 có hiển thị số đã trừ HOLD không?</t>
        </is>
      </c>
      <c r="E29" s="33" t="inlineStr">
        <is>
          <t>Confirm.</t>
        </is>
      </c>
      <c r="F29" s="33" t="inlineStr">
        <is>
          <t>Open</t>
        </is>
      </c>
    </row>
    <row r="30" ht="75" customHeight="1" s="25">
      <c r="A30" s="33" t="n">
        <v>29</v>
      </c>
      <c r="B30" s="59" t="inlineStr">
        <is>
          <t>P3</t>
        </is>
      </c>
      <c r="C30" s="33" t="inlineStr">
        <is>
          <t>Header doc</t>
        </is>
      </c>
      <c r="D30" s="33" t="inlineStr">
        <is>
          <t>'Ngày cập nhật 10/08' nhưng doc có quyết định 17/08, 19/08; còn lỗi chữ 'màn màn topup'; bản copy EN chưa có trong khi UI dùng EN ('My Balance', 'Get More').</t>
        </is>
      </c>
      <c r="E30" s="33" t="inlineStr">
        <is>
          <t>Cập nhật metadata + bổ sung copy EN.</t>
        </is>
      </c>
      <c r="F30" s="33" t="inlineStr">
        <is>
          <t>Open</t>
        </is>
      </c>
    </row>
    <row r="31" ht="75" customHeight="1" s="25">
      <c r="A31" s="33" t="n">
        <v>30</v>
      </c>
      <c r="B31" s="58" t="inlineStr">
        <is>
          <t>P2</t>
        </is>
      </c>
      <c r="C31" s="33" t="inlineStr">
        <is>
          <t>Mục 4 luồng free user</t>
        </is>
      </c>
      <c r="D31" s="33" t="inlineStr">
        <is>
          <t>Free user MUA sub ngay trên paywall feature giữa chuỗi: gen chạy tiếp ngay (trừ quota mới) hay quay lại màn Upload?</t>
        </is>
      </c>
      <c r="E31" s="33" t="inlineStr">
        <is>
          <t>Bổ sung.</t>
        </is>
      </c>
      <c r="F31" s="33" t="inlineStr">
        <is>
          <t>Open</t>
        </is>
      </c>
    </row>
    <row r="32" ht="75" customHeight="1" s="25">
      <c r="A32" s="33" t="n">
        <v>31</v>
      </c>
      <c r="B32" s="57" t="inlineStr">
        <is>
          <t>P1</t>
        </is>
      </c>
      <c r="C32" s="33" t="inlineStr">
        <is>
          <t>Mục 12 / 13.3</t>
        </is>
      </c>
      <c r="D32" s="33" t="inlineStr">
        <is>
          <t>Trần 40 lần gọi API gen/ngày mới là 'đề xuất'. Nếu áp: subscriber 20 quota + nhiều topup sẽ bị chặn sau 40 → mâu thuẫn 'không giới hạn số lần mua'.</t>
        </is>
      </c>
      <c r="E32" s="33" t="inlineStr">
        <is>
          <t>Chốt có áp không và cho nhóm nào.</t>
        </is>
      </c>
      <c r="F32" s="33" t="inlineStr">
        <is>
          <t>Open</t>
        </is>
      </c>
    </row>
    <row r="33" ht="75" customHeight="1" s="25">
      <c r="A33" s="33" t="n">
        <v>33</v>
      </c>
      <c r="B33" s="57" t="inlineStr">
        <is>
          <t>P1</t>
        </is>
      </c>
      <c r="C33" s="33" t="inlineStr">
        <is>
          <t>CMS — số lượt/ngày</t>
        </is>
      </c>
      <c r="D33" s="33" t="inlineStr">
        <is>
          <t>PO đổi số lượt trên CMS giữa ngày: áp dụng ngay hay từ lần reset kế tiếp? User đang còn nhiều hơn mức mới có bị cắt không? Tăng thì có cộng thêm không?</t>
        </is>
      </c>
      <c r="E33" s="33" t="inlineStr">
        <is>
          <t>Chốt thời điểm áp dụng.</t>
        </is>
      </c>
      <c r="F33" s="33" t="inlineStr">
        <is>
          <t>Open</t>
        </is>
      </c>
    </row>
    <row r="34" ht="75" customHeight="1" s="25">
      <c r="A34" s="33" t="n">
        <v>34</v>
      </c>
      <c r="B34" s="57" t="inlineStr">
        <is>
          <t>P1</t>
        </is>
      </c>
      <c r="C34" s="33" t="inlineStr">
        <is>
          <t>CMS — số lượt/ngày</t>
        </is>
      </c>
      <c r="D34" s="33" t="inlineStr">
        <is>
          <t>CMS có validate giá trị nhập không (0, âm, chữ, số thập phân, để trống)? BE fallback giá trị nào khi cấu hình lỗi hoặc không đọc được?</t>
        </is>
      </c>
      <c r="E34" s="33" t="inlineStr">
        <is>
          <t>Bổ sung rule validate + fallback.</t>
        </is>
      </c>
      <c r="F34" s="33" t="inlineStr">
        <is>
          <t>Open</t>
        </is>
      </c>
    </row>
    <row r="35" ht="75" customHeight="1" s="25">
      <c r="A35" s="33" t="n">
        <v>35</v>
      </c>
      <c r="B35" s="57" t="inlineStr">
        <is>
          <t>P1</t>
        </is>
      </c>
      <c r="C35" s="33" t="inlineStr">
        <is>
          <t>CMS — số lượt/ngày</t>
        </is>
      </c>
      <c r="D35" s="33" t="inlineStr">
        <is>
          <t>App lấy Q từ đâu để hiển thị copy ("Q lần tạo mỗi ngày" ở paywall, Chào mừng, 482)? get_info có trả field số lượt/ngày không?</t>
        </is>
      </c>
      <c r="E35" s="33" t="inlineStr">
        <is>
          <t>BE bổ sung field / API cho app.</t>
        </is>
      </c>
      <c r="F35" s="33" t="inlineStr">
        <is>
          <t>Open</t>
        </is>
      </c>
    </row>
    <row r="36" ht="75" customHeight="1" s="25">
      <c r="A36" s="33" t="n">
        <v>36</v>
      </c>
      <c r="B36" s="58" t="inlineStr">
        <is>
          <t>P2</t>
        </is>
      </c>
      <c r="C36" s="33" t="inlineStr">
        <is>
          <t>Mục 4 — bảng trạng thái header (v114)</t>
        </is>
      </c>
      <c r="D36" s="33" t="inlineStr">
        <is>
          <t>v114 sửa cột Pill: subscriber / grandfather KHÔNG hiện nút "Upgrade" / Get Pro (TC đã cập nhật). Còn sót: tên cột vẫn là "Pill trạng thái gói", câu "pill đọc trạng thái gói" ở dưới bảng, mục 11 (17/08) và mục 12 vẫn nhắc pill "Pro". Subscriber có nhãn/pill nào khác thay thế không, hay header chỉ có badge?</t>
        </is>
      </c>
      <c r="E36" s="33" t="inlineStr">
        <is>
          <t>BA dọn lại các chỗ còn nhắc pill "Pro"; xác nhận subscriber không có pill nào.</t>
        </is>
      </c>
      <c r="F36" s="33" t="inlineStr">
        <is>
          <t>Open</t>
        </is>
      </c>
    </row>
  </sheetData>
  <dataValidations count="1">
    <dataValidation sqref="F2:F36" showDropDown="0" showInputMessage="0" showErrorMessage="0" allowBlank="1" type="list" errorStyle="stop" operator="between">
      <formula1>"Open,Answered,Closed"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2026-10-24T04:48:10Z</dcterms:created>
  <dcterms:modified xsi:type="dcterms:W3CDTF">2026-10-25T05:59:02Z</dcterms:modified>
  <cp:revision>7</cp:revision>
</cp:coreProperties>
</file>